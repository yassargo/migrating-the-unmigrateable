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📄 Executive Summary" sheetId="1" state="visible" r:id="rId1"/>
    <sheet xmlns:r="http://schemas.openxmlformats.org/officeDocument/2006/relationships" name="💥 Incident Cost Model" sheetId="2" state="visible" r:id="rId2"/>
    <sheet xmlns:r="http://schemas.openxmlformats.org/officeDocument/2006/relationships" name="📈 Phased Investment Plan" sheetId="3" state="visible" r:id="rId3"/>
    <sheet xmlns:r="http://schemas.openxmlformats.org/officeDocument/2006/relationships" name="📉 Risk Reduction Tracker" sheetId="4" state="visible" r:id="rId4"/>
    <sheet xmlns:r="http://schemas.openxmlformats.org/officeDocument/2006/relationships" name="🎯 Sensitivity Analysis" sheetId="5" state="visible" r:id="rId5"/>
    <sheet xmlns:r="http://schemas.openxmlformats.org/officeDocument/2006/relationships" name="📖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i val="1"/>
      <color rgb="00C55A11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375623"/>
      <sz val="10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6B5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164" fontId="10" fillId="1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9" fontId="9" fillId="9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11" fillId="2" borderId="1" pivotButton="0" quotePrefix="0" xfId="0"/>
    <xf numFmtId="164" fontId="0" fillId="0" borderId="0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right" vertical="center"/>
    </xf>
    <xf numFmtId="164" fontId="19" fillId="10" borderId="1" applyAlignment="1" pivotButton="0" quotePrefix="0" xfId="0">
      <alignment horizontal="right" vertical="center"/>
    </xf>
    <xf numFmtId="164" fontId="20" fillId="9" borderId="1" applyAlignment="1" pivotButton="0" quotePrefix="0" xfId="0">
      <alignment horizontal="right" vertical="center"/>
    </xf>
    <xf numFmtId="164" fontId="20" fillId="8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0" customWidth="1" min="4" max="4"/>
    <col width="20" customWidth="1" min="5" max="5"/>
    <col width="3" customWidth="1" min="6" max="6"/>
  </cols>
  <sheetData>
    <row r="1" ht="8" customHeight="1"/>
    <row r="2" ht="58" customHeight="1">
      <c r="A2" s="1" t="inlineStr">
        <is>
          <t>💼  OT Security Migration — Business Case
Migrating the Unmigrateable — Study Notes | [MtU #07]</t>
        </is>
      </c>
    </row>
    <row r="3" ht="26" customHeight="1">
      <c r="B3" s="2" t="inlineStr">
        <is>
          <t>Executive Summary  |  For Board / Senior Management Review</t>
        </is>
      </c>
    </row>
    <row r="5" ht="24" customHeight="1">
      <c r="B5" s="3" t="inlineStr">
        <is>
          <t>FACILITY &amp; PROGRAMME INFORMATION</t>
        </is>
      </c>
    </row>
    <row r="6" ht="24" customHeight="1">
      <c r="B6" s="4" t="inlineStr">
        <is>
          <t>Facility / Site</t>
        </is>
      </c>
      <c r="C6" s="5" t="inlineStr"/>
      <c r="D6" s="6" t="n"/>
      <c r="E6" s="7" t="n"/>
    </row>
    <row r="7" ht="24" customHeight="1">
      <c r="B7" s="4" t="inlineStr">
        <is>
          <t>Prepared By</t>
        </is>
      </c>
      <c r="C7" s="5" t="inlineStr"/>
      <c r="D7" s="6" t="n"/>
      <c r="E7" s="7" t="n"/>
    </row>
    <row r="8" ht="24" customHeight="1">
      <c r="B8" s="4" t="inlineStr">
        <is>
          <t>Date</t>
        </is>
      </c>
      <c r="C8" s="5" t="inlineStr"/>
      <c r="D8" s="6" t="n"/>
      <c r="E8" s="7" t="n"/>
    </row>
    <row r="9" ht="24" customHeight="1">
      <c r="B9" s="4" t="inlineStr">
        <is>
          <t>Programme Scope</t>
        </is>
      </c>
      <c r="C9" s="8" t="inlineStr">
        <is>
          <t>Legacy ICS migration — Phases 0–5</t>
        </is>
      </c>
      <c r="D9" s="6" t="n"/>
      <c r="E9" s="7" t="n"/>
    </row>
    <row r="10" ht="24" customHeight="1">
      <c r="B10" s="4" t="inlineStr">
        <is>
          <t>Total Devices in Scope</t>
        </is>
      </c>
      <c r="C10" s="8" t="inlineStr">
        <is>
          <t>11 ICS assets — 3 Critical, 4 High, 4 Medium/Low priority</t>
        </is>
      </c>
      <c r="D10" s="6" t="n"/>
      <c r="E10" s="7" t="n"/>
    </row>
    <row r="11" ht="24" customHeight="1">
      <c r="B11" s="4" t="inlineStr">
        <is>
          <t>Programme Duration</t>
        </is>
      </c>
      <c r="C11" s="8" t="inlineStr">
        <is>
          <t>24 months — phased investment</t>
        </is>
      </c>
      <c r="D11" s="6" t="n"/>
      <c r="E11" s="7" t="n"/>
    </row>
    <row r="13" ht="24" customHeight="1">
      <c r="B13" s="9" t="inlineStr">
        <is>
          <t>THE COST OF DOING NOTHING</t>
        </is>
      </c>
    </row>
    <row r="14" ht="26" customHeight="1">
      <c r="B14" s="10" t="inlineStr">
        <is>
          <t>Estimated cost per hour of unplanned OT downtime</t>
        </is>
      </c>
      <c r="C14" s="11" t="n">
        <v>45000</v>
      </c>
      <c r="D14" s="6" t="n"/>
      <c r="E14" s="7" t="n"/>
    </row>
    <row r="15" ht="26" customHeight="1">
      <c r="B15" s="10" t="inlineStr">
        <is>
          <t>Estimated duration of ransomware/major OT incident (weeks)</t>
        </is>
      </c>
      <c r="C15" s="11" t="n">
        <v>3</v>
      </c>
      <c r="D15" s="6" t="n"/>
      <c r="E15" s="7" t="n"/>
    </row>
    <row r="16" ht="30" customHeight="1">
      <c r="B16" s="12" t="inlineStr">
        <is>
          <t>⚠️  Total estimated financial exposure — major OT incident</t>
        </is>
      </c>
      <c r="C16" s="13" t="n">
        <v>32680000</v>
      </c>
      <c r="D16" s="6" t="n"/>
      <c r="E16" s="7" t="n"/>
    </row>
    <row r="17" ht="26" customHeight="1">
      <c r="B17" s="10" t="inlineStr">
        <is>
          <t>Maximum NIS2 penalty — essential entity</t>
        </is>
      </c>
      <c r="C17" s="11" t="n">
        <v>10000000</v>
      </c>
      <c r="D17" s="6" t="n"/>
      <c r="E17" s="7" t="n"/>
    </row>
    <row r="18" ht="26" customHeight="1">
      <c r="B18" s="10" t="inlineStr">
        <is>
          <t>Management personal liability exposure</t>
        </is>
      </c>
      <c r="C18" s="14" t="inlineStr">
        <is>
          <t>Quantify with insurer / legal</t>
        </is>
      </c>
      <c r="D18" s="6" t="n"/>
      <c r="E18" s="7" t="n"/>
    </row>
    <row r="19" ht="26" customHeight="1">
      <c r="B19" s="10" t="inlineStr">
        <is>
          <t>Cyber insurance — uninsured exposure if controls not demonstrated</t>
        </is>
      </c>
      <c r="C19" s="14" t="inlineStr">
        <is>
          <t>Quantify with insurer / legal</t>
        </is>
      </c>
      <c r="D19" s="6" t="n"/>
      <c r="E19" s="7" t="n"/>
    </row>
    <row r="21" ht="24" customHeight="1">
      <c r="B21" s="3" t="inlineStr">
        <is>
          <t>PROPOSED PROGRAMME — PHASED INVESTMENT</t>
        </is>
      </c>
    </row>
    <row r="22" ht="32" customHeight="1">
      <c r="B22" s="15" t="inlineStr">
        <is>
          <t>Phase</t>
        </is>
      </c>
      <c r="C22" s="15" t="inlineStr">
        <is>
          <t>Scope</t>
        </is>
      </c>
      <c r="D22" s="15" t="inlineStr">
        <is>
          <t>Investment</t>
        </is>
      </c>
      <c r="E22" s="15" t="inlineStr">
        <is>
          <t>Risk Retired</t>
        </is>
      </c>
      <c r="F22" s="15" t="inlineStr">
        <is>
          <t>Cumulative Risk Reduction</t>
        </is>
      </c>
    </row>
    <row r="23" ht="44" customHeight="1">
      <c r="B23" s="16" t="inlineStr">
        <is>
          <t>Phase 0+1
Discover &amp; Assess</t>
        </is>
      </c>
      <c r="C23" s="16" t="inlineStr">
        <is>
          <t>Asset inventory + risk scoring. Know what you have.</t>
        </is>
      </c>
      <c r="D23" s="17" t="n">
        <v>25000</v>
      </c>
      <c r="E23" s="16" t="inlineStr">
        <is>
          <t>Eliminates unknown risk exposure. Baseline for all subsequent decisions.</t>
        </is>
      </c>
      <c r="F23" s="16" t="inlineStr">
        <is>
          <t>Foundation — all subsequent phases depend on this</t>
        </is>
      </c>
    </row>
    <row r="24" ht="44" customHeight="1">
      <c r="B24" s="18" t="inlineStr">
        <is>
          <t>Phase 2
Segment &amp; Isolate</t>
        </is>
      </c>
      <c r="C24" s="18" t="inlineStr">
        <is>
          <t>Network segmentation, remote access hardening, compensating controls.</t>
        </is>
      </c>
      <c r="D24" s="17" t="n">
        <v>85000</v>
      </c>
      <c r="E24" s="18" t="inlineStr">
        <is>
          <t>Eliminates undocumented access paths. Reduces exposure of EOL devices pending replacement. NIS2 Art.21(2)(e) met.</t>
        </is>
      </c>
      <c r="F24" s="18" t="inlineStr">
        <is>
          <t>🟠 High risks reduced to 🟡 Medium with controls in place</t>
        </is>
      </c>
    </row>
    <row r="25" ht="44" customHeight="1">
      <c r="B25" s="16" t="inlineStr">
        <is>
          <t>Phase 3a
Critical Migrations</t>
        </is>
      </c>
      <c r="C25" s="16" t="inlineStr">
        <is>
          <t>Replace 3 Critical-priority devices (ICS-001, ICS-004, ICS-010 decommission).</t>
        </is>
      </c>
      <c r="D25" s="17" t="n">
        <v>180000</v>
      </c>
      <c r="E25" s="16" t="inlineStr">
        <is>
          <t>Removes 3 uninsurable assets. Eliminates CVE-2021-37185 and CVE-2019-13945 exposure.</t>
        </is>
      </c>
      <c r="F25" s="16" t="inlineStr">
        <is>
          <t>🔴 Critical assets → ✅ Validated &amp; compliant</t>
        </is>
      </c>
    </row>
    <row r="26" ht="44" customHeight="1">
      <c r="B26" s="18" t="inlineStr">
        <is>
          <t>Phase 3b
High Migrations</t>
        </is>
      </c>
      <c r="C26" s="18" t="inlineStr">
        <is>
          <t>Replace/patch remaining High-priority assets (ICS-003, ICS-007).</t>
        </is>
      </c>
      <c r="D26" s="17" t="n">
        <v>95000</v>
      </c>
      <c r="E26" s="18" t="inlineStr">
        <is>
          <t>Full CVE remediation. Historian upgraded — IT/OT bridge risk eliminated.</t>
        </is>
      </c>
      <c r="F26" s="18" t="inlineStr">
        <is>
          <t>🟠 High assets → ✅ Validated &amp; compliant</t>
        </is>
      </c>
    </row>
    <row r="27" ht="44" customHeight="1">
      <c r="B27" s="16" t="inlineStr">
        <is>
          <t>Phase 4+5
Validate &amp; Operate</t>
        </is>
      </c>
      <c r="C27" s="16" t="inlineStr">
        <is>
          <t>Validation evidence pack + ongoing monitoring programme.</t>
        </is>
      </c>
      <c r="D27" s="17" t="n">
        <v>35000</v>
      </c>
      <c r="E27" s="16" t="inlineStr">
        <is>
          <t>Audit-ready compliance evidence. NIS2 Article 21 fully demonstrable. Insurance position improved.</t>
        </is>
      </c>
      <c r="F27" s="16" t="inlineStr">
        <is>
          <t>Full programme — defensible compliance posture</t>
        </is>
      </c>
    </row>
    <row r="28" ht="30" customHeight="1">
      <c r="B28" s="19" t="inlineStr">
        <is>
          <t>TOTAL PROGRAMME INVESTMENT</t>
        </is>
      </c>
      <c r="C28" s="20" t="n"/>
      <c r="D28" s="21" t="n">
        <v>420000</v>
      </c>
      <c r="E28" s="20" t="inlineStr">
        <is>
          <t>Full NIS2 Article 21 compliance demonstrable</t>
        </is>
      </c>
    </row>
    <row r="30" ht="24" customHeight="1">
      <c r="B30" s="22" t="inlineStr">
        <is>
          <t>RECOMMENDATION &amp; DECISION REQUIRED</t>
        </is>
      </c>
    </row>
    <row r="31" ht="36" customHeight="1">
      <c r="B31" s="23" t="inlineStr">
        <is>
          <t>Approve Phase 0+1 immediately</t>
        </is>
      </c>
      <c r="C31" s="8" t="inlineStr">
        <is>
          <t>Low investment (€25,000). Establishes the evidence base for all subsequent decisions. Cannot properly scope later phases without this.</t>
        </is>
      </c>
      <c r="D31" s="6" t="n"/>
      <c r="E31" s="7" t="n"/>
    </row>
    <row r="32" ht="36" customHeight="1">
      <c r="B32" s="23" t="inlineStr">
        <is>
          <t>Approve Phase 2 in Q2 2025</t>
        </is>
      </c>
      <c r="C32" s="8" t="inlineStr">
        <is>
          <t>Segmentation (€85,000) delivers the fastest risk reduction per euro spent. Also addresses NIS2 Art.21(2)(e) immediately.</t>
        </is>
      </c>
      <c r="D32" s="6" t="n"/>
      <c r="E32" s="7" t="n"/>
    </row>
    <row r="33" ht="36" customHeight="1">
      <c r="B33" s="23" t="inlineStr">
        <is>
          <t>Approve Phases 3a–5 as programme</t>
        </is>
      </c>
      <c r="C33" s="8" t="inlineStr">
        <is>
          <t>Remaining €310,000 spread across 18 months. Each phase independently auditable. Board review after Phase 2 before Phase 3 approval.</t>
        </is>
      </c>
      <c r="D33" s="6" t="n"/>
      <c r="E33" s="7" t="n"/>
    </row>
    <row r="35" ht="22" customHeight="1">
      <c r="B35" s="24" t="inlineStr">
        <is>
          <t>⚡ Migrating the Unmigrateable — Study Notes | [MtU #07] | Full workbook: see sheets below</t>
        </is>
      </c>
    </row>
  </sheetData>
  <mergeCells count="22">
    <mergeCell ref="C16:E16"/>
    <mergeCell ref="C31:E31"/>
    <mergeCell ref="B30:E30"/>
    <mergeCell ref="C9:E9"/>
    <mergeCell ref="B5:E5"/>
    <mergeCell ref="C11:E11"/>
    <mergeCell ref="B35:E35"/>
    <mergeCell ref="C8:E8"/>
    <mergeCell ref="C17:E17"/>
    <mergeCell ref="B3:E3"/>
    <mergeCell ref="C7:E7"/>
    <mergeCell ref="C32:E32"/>
    <mergeCell ref="C19:E19"/>
    <mergeCell ref="A2:E2"/>
    <mergeCell ref="B21:E21"/>
    <mergeCell ref="C18:E18"/>
    <mergeCell ref="C15:E15"/>
    <mergeCell ref="C6:E6"/>
    <mergeCell ref="C33:E33"/>
    <mergeCell ref="C14:E14"/>
    <mergeCell ref="B13:E1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 ht="8" customHeight="1"/>
    <row r="2" ht="44" customHeight="1">
      <c r="A2" s="25" t="inlineStr">
        <is>
          <t>💥  OT Incident Cost Model  |  The Cost of Doing Nothing  |  [MtU #07]</t>
        </is>
      </c>
    </row>
    <row r="3" ht="22" customHeight="1">
      <c r="B3" s="26" t="inlineStr">
        <is>
          <t>Populate the yellow cells with facility-specific figures. All calculations update automatically.</t>
        </is>
      </c>
    </row>
    <row r="5" ht="24" customHeight="1">
      <c r="B5" s="3" t="inlineStr">
        <is>
          <t>PRODUCTION LOSS MODEL</t>
        </is>
      </c>
    </row>
    <row r="6" ht="26" customHeight="1">
      <c r="B6" s="4" t="inlineStr">
        <is>
          <t>Hourly production output (units/hr)</t>
        </is>
      </c>
      <c r="C6" s="27" t="n">
        <v>1000</v>
      </c>
      <c r="D6" s="6" t="n"/>
      <c r="E6" s="7" t="n"/>
    </row>
    <row r="7" ht="26" customHeight="1">
      <c r="B7" s="4" t="inlineStr">
        <is>
          <t>Product value per unit (€)</t>
        </is>
      </c>
      <c r="C7" s="28" t="n">
        <v>45</v>
      </c>
      <c r="D7" s="6" t="n"/>
      <c r="E7" s="7" t="n"/>
    </row>
    <row r="8" ht="26" customHeight="1">
      <c r="B8" s="4" t="inlineStr">
        <is>
          <t>Hourly revenue (auto-calculated)</t>
        </is>
      </c>
      <c r="C8" s="17">
        <f>C6*C7</f>
        <v/>
      </c>
      <c r="D8" s="6" t="n"/>
      <c r="E8" s="7" t="n"/>
    </row>
    <row r="9" ht="26" customHeight="1">
      <c r="B9" s="4" t="inlineStr">
        <is>
          <t>Gross margin %</t>
        </is>
      </c>
      <c r="C9" s="29" t="n">
        <v>35</v>
      </c>
      <c r="D9" s="6" t="n"/>
      <c r="E9" s="7" t="n"/>
    </row>
    <row r="10" ht="26" customHeight="1">
      <c r="B10" s="4" t="inlineStr">
        <is>
          <t>Hourly margin at risk (auto-calculated)</t>
        </is>
      </c>
      <c r="C10" s="17">
        <f>C8*C9</f>
        <v/>
      </c>
      <c r="D10" s="6" t="n"/>
      <c r="E10" s="7" t="n"/>
    </row>
    <row r="11" ht="26" customHeight="1">
      <c r="B11" s="4" t="inlineStr">
        <is>
          <t>Fixed costs per hour (labour, utilities, etc.)</t>
        </is>
      </c>
      <c r="C11" s="29" t="n">
        <v>8500</v>
      </c>
      <c r="D11" s="6" t="n"/>
      <c r="E11" s="7" t="n"/>
    </row>
    <row r="12" ht="26" customHeight="1">
      <c r="B12" s="4" t="inlineStr">
        <is>
          <t>Total hourly downtime cost (auto-calculated)</t>
        </is>
      </c>
      <c r="C12" s="17">
        <f>C10+C11</f>
        <v/>
      </c>
      <c r="D12" s="6" t="n"/>
      <c r="E12" s="7" t="n"/>
    </row>
    <row r="14" ht="24" customHeight="1">
      <c r="B14" s="3" t="inlineStr">
        <is>
          <t>INCIDENT SCENARIO MODELLING</t>
        </is>
      </c>
    </row>
    <row r="15" ht="32" customHeight="1">
      <c r="B15" s="15" t="inlineStr">
        <is>
          <t>Scenario</t>
        </is>
      </c>
      <c r="C15" s="15" t="inlineStr">
        <is>
          <t>Duration</t>
        </is>
      </c>
      <c r="D15" s="15" t="inlineStr">
        <is>
          <t>Estimated Cost</t>
        </is>
      </c>
      <c r="E15" s="15" t="inlineStr">
        <is>
          <t>Probability (annual)</t>
        </is>
      </c>
      <c r="F15" s="15" t="inlineStr">
        <is>
          <t>Risk-Adjusted Cost</t>
        </is>
      </c>
    </row>
    <row r="16" ht="36" customHeight="1">
      <c r="B16" s="18" t="inlineStr">
        <is>
          <t>Targeted ransomware — OT network</t>
        </is>
      </c>
      <c r="C16" s="18" t="inlineStr">
        <is>
          <t>3 weeks
(504 hrs)</t>
        </is>
      </c>
      <c r="D16" s="30" t="n">
        <v>0.15</v>
      </c>
      <c r="E16" s="31" t="n">
        <v>0.15</v>
      </c>
      <c r="F16" s="32">
        <f>D16*E16</f>
        <v/>
      </c>
    </row>
    <row r="17" ht="36" customHeight="1">
      <c r="B17" s="16" t="inlineStr">
        <is>
          <t>Accidental misconfiguration — process fault</t>
        </is>
      </c>
      <c r="C17" s="16" t="inlineStr">
        <is>
          <t>8 hrs</t>
        </is>
      </c>
      <c r="D17" s="30" t="n">
        <v>0.35</v>
      </c>
      <c r="E17" s="31" t="n">
        <v>0.35</v>
      </c>
      <c r="F17" s="32">
        <f>D17*E17</f>
        <v/>
      </c>
    </row>
    <row r="18" ht="36" customHeight="1">
      <c r="B18" s="18" t="inlineStr">
        <is>
          <t>Legacy CVE exploited — single device</t>
        </is>
      </c>
      <c r="C18" s="18" t="inlineStr">
        <is>
          <t>48 hrs</t>
        </is>
      </c>
      <c r="D18" s="30" t="n">
        <v>0.2</v>
      </c>
      <c r="E18" s="31" t="n">
        <v>0.2</v>
      </c>
      <c r="F18" s="32">
        <f>D18*E18</f>
        <v/>
      </c>
    </row>
    <row r="19" ht="36" customHeight="1">
      <c r="B19" s="16" t="inlineStr">
        <is>
          <t>Undocumented remote access — breach</t>
        </is>
      </c>
      <c r="C19" s="16" t="inlineStr">
        <is>
          <t>2 weeks
(336 hrs)</t>
        </is>
      </c>
      <c r="D19" s="30" t="n">
        <v>0.1</v>
      </c>
      <c r="E19" s="31" t="n">
        <v>0.1</v>
      </c>
      <c r="F19" s="32">
        <f>D19*E19</f>
        <v/>
      </c>
    </row>
    <row r="20" ht="36" customHeight="1">
      <c r="B20" s="18" t="inlineStr">
        <is>
          <t>Supply chain compromise — vendor access</t>
        </is>
      </c>
      <c r="C20" s="18" t="inlineStr">
        <is>
          <t>1 week
(168 hrs)</t>
        </is>
      </c>
      <c r="D20" s="30" t="n">
        <v>0.08</v>
      </c>
      <c r="E20" s="31" t="n">
        <v>0.08</v>
      </c>
      <c r="F20" s="32">
        <f>D20*E20</f>
        <v/>
      </c>
    </row>
    <row r="21" ht="30" customHeight="1">
      <c r="B21" s="19" t="inlineStr">
        <is>
          <t>TOTAL ANNUALISED RISK EXPOSURE (pre-programme)</t>
        </is>
      </c>
      <c r="C21" s="33" t="n"/>
      <c r="D21" s="33" t="n"/>
      <c r="E21" s="33" t="n"/>
      <c r="F21" s="34">
        <f>SUM(F16:F20)</f>
        <v/>
      </c>
    </row>
    <row r="23" ht="24" customHeight="1">
      <c r="B23" s="3" t="inlineStr">
        <is>
          <t>REGULATORY &amp; INSURANCE EXPOSURE</t>
        </is>
      </c>
    </row>
    <row r="24" ht="26" customHeight="1">
      <c r="B24" s="4" t="inlineStr">
        <is>
          <t>NIS2 maximum penalty — essential entity</t>
        </is>
      </c>
      <c r="C24" s="11" t="n">
        <v>10000000</v>
      </c>
      <c r="D24" s="6" t="n"/>
      <c r="E24" s="7" t="n"/>
    </row>
    <row r="25" ht="26" customHeight="1">
      <c r="B25" s="4" t="inlineStr">
        <is>
          <t>NIS2 — management personal liability</t>
        </is>
      </c>
      <c r="C25" s="35" t="inlineStr">
        <is>
          <t>Unlimited — personal criminal liability possible</t>
        </is>
      </c>
      <c r="D25" s="6" t="n"/>
      <c r="E25" s="7" t="n"/>
    </row>
    <row r="26" ht="26" customHeight="1">
      <c r="B26" s="4" t="inlineStr">
        <is>
          <t>Estimated current cyber insurance premium (annual)</t>
        </is>
      </c>
      <c r="C26" s="11" t="n">
        <v>45000</v>
      </c>
      <c r="D26" s="6" t="n"/>
      <c r="E26" s="7" t="n"/>
    </row>
    <row r="27" ht="26" customHeight="1">
      <c r="B27" s="4" t="inlineStr">
        <is>
          <t>Estimated post-programme premium reduction</t>
        </is>
      </c>
      <c r="C27" s="35" t="inlineStr">
        <is>
          <t>15–25% reduction — confirm with insurer</t>
        </is>
      </c>
      <c r="D27" s="6" t="n"/>
      <c r="E27" s="7" t="n"/>
    </row>
    <row r="28" ht="26" customHeight="1">
      <c r="B28" s="4" t="inlineStr">
        <is>
          <t>Uninsured exposure if controls not demonstrated</t>
        </is>
      </c>
      <c r="C28" s="35" t="inlineStr">
        <is>
          <t>Confirm with insurer — potential full claim rejection</t>
        </is>
      </c>
      <c r="D28" s="6" t="n"/>
      <c r="E28" s="7" t="n"/>
    </row>
  </sheetData>
  <mergeCells count="17">
    <mergeCell ref="B23:E23"/>
    <mergeCell ref="C24:E24"/>
    <mergeCell ref="C11:E11"/>
    <mergeCell ref="C28:E28"/>
    <mergeCell ref="C27:E27"/>
    <mergeCell ref="A2:E2"/>
    <mergeCell ref="C8:E8"/>
    <mergeCell ref="C9:E9"/>
    <mergeCell ref="C26:E26"/>
    <mergeCell ref="B3:E3"/>
    <mergeCell ref="B5:E5"/>
    <mergeCell ref="C7:E7"/>
    <mergeCell ref="B14:E14"/>
    <mergeCell ref="C12:E12"/>
    <mergeCell ref="C25:E25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6" customWidth="1" min="4" max="4"/>
    <col width="16" customWidth="1" min="5" max="5"/>
    <col width="30" customWidth="1" min="6" max="6"/>
    <col width="24" customWidth="1" min="7" max="7"/>
    <col width="24" customWidth="1" min="8" max="8"/>
    <col width="28" customWidth="1" min="9" max="9"/>
    <col width="18" customWidth="1" min="10" max="10"/>
    <col width="14" customWidth="1" min="11" max="11"/>
  </cols>
  <sheetData>
    <row r="1" ht="8" customHeight="1"/>
    <row r="2" ht="44" customHeight="1">
      <c r="A2" s="25" t="inlineStr">
        <is>
          <t>📈  Phased Investment Plan  |  Risk Reduction Per Euro Spent  |  [MtU #07]</t>
        </is>
      </c>
    </row>
    <row r="3" ht="44" customHeight="1">
      <c r="A3" s="15" t="inlineStr">
        <is>
          <t>Phase</t>
        </is>
      </c>
      <c r="B3" s="15" t="inlineStr">
        <is>
          <t>Activities</t>
        </is>
      </c>
      <c r="C3" s="15" t="inlineStr">
        <is>
          <t>Key Deliverables</t>
        </is>
      </c>
      <c r="D3" s="15" t="inlineStr">
        <is>
          <t>Investment (€)</t>
        </is>
      </c>
      <c r="E3" s="15" t="inlineStr">
        <is>
          <t>Timeline</t>
        </is>
      </c>
      <c r="F3" s="15" t="inlineStr">
        <is>
          <t>Risk Items Retired</t>
        </is>
      </c>
      <c r="G3" s="15" t="inlineStr">
        <is>
          <t>Risks Remaining</t>
        </is>
      </c>
      <c r="H3" s="15" t="inlineStr">
        <is>
          <t>NIS2 Obligations Met</t>
        </is>
      </c>
      <c r="I3" s="15" t="inlineStr">
        <is>
          <t>Go/No-Go Criteria</t>
        </is>
      </c>
      <c r="J3" s="15" t="inlineStr">
        <is>
          <t>Board Approval Required</t>
        </is>
      </c>
      <c r="K3" s="15" t="inlineStr">
        <is>
          <t>Status</t>
        </is>
      </c>
    </row>
    <row r="4" ht="60" customHeight="1">
      <c r="A4" s="18" t="inlineStr">
        <is>
          <t>Phase 0+1
Discover &amp; Assess</t>
        </is>
      </c>
      <c r="B4" s="18" t="inlineStr">
        <is>
          <t>Asset inventory (Phase 0). Risk scoring matrix (Phase 1). Zone map. Priority shortlist.</t>
        </is>
      </c>
      <c r="C4" s="18" t="inlineStr">
        <is>
          <t>MtU #01 inventory. MtU #02 risk matrix. Priority shortlist.</t>
        </is>
      </c>
      <c r="D4" s="17" t="n">
        <v>25000</v>
      </c>
      <c r="E4" s="18" t="inlineStr">
        <is>
          <t>Month 1–2</t>
        </is>
      </c>
      <c r="F4" s="18" t="inlineStr">
        <is>
          <t>Complete picture of OT risk landscape. No more unknown unknowns.</t>
        </is>
      </c>
      <c r="G4" s="18" t="inlineStr">
        <is>
          <t>All identified risks still present — but now documented and prioritised.</t>
        </is>
      </c>
      <c r="H4" s="18" t="inlineStr">
        <is>
          <t>Art.21(2)(a) — risk analysis baseline established.</t>
        </is>
      </c>
      <c r="I4" s="18" t="inlineStr">
        <is>
          <t>All assets discovered and risk-scored. Priority shortlist agreed with plant management.</t>
        </is>
      </c>
      <c r="J4" s="36" t="inlineStr">
        <is>
          <t>Yes — programme approval gate</t>
        </is>
      </c>
      <c r="K4" s="37" t="inlineStr">
        <is>
          <t>⏳ Planned</t>
        </is>
      </c>
    </row>
    <row r="5" ht="60" customHeight="1">
      <c r="A5" s="16" t="inlineStr">
        <is>
          <t>Phase 2
Segment &amp; Isolate</t>
        </is>
      </c>
      <c r="B5" s="16" t="inlineStr">
        <is>
          <t>VLAN segmentation. OT firewall deployment. Remote access hardening. Compensating controls for EOL devices.</t>
        </is>
      </c>
      <c r="C5" s="16" t="inlineStr">
        <is>
          <t>MtU #03 segmentation design. Firewall rule register. Remote access register. Change log.</t>
        </is>
      </c>
      <c r="D5" s="17" t="n">
        <v>85000</v>
      </c>
      <c r="E5" s="16" t="inlineStr">
        <is>
          <t>Month 3–6</t>
        </is>
      </c>
      <c r="F5" s="16" t="inlineStr">
        <is>
          <t>Undocumented access paths eliminated. EOL devices isolated with documented controls. NIS2 Art.21(2)(e) met.</t>
        </is>
      </c>
      <c r="G5" s="16" t="inlineStr">
        <is>
          <t>EOL devices still present — but now behind compensating controls with committed replacement dates.</t>
        </is>
      </c>
      <c r="H5" s="16" t="inlineStr">
        <is>
          <t>Art.21(2)(e) — network segmentation. Art.21(2)(i) — remote access controls.</t>
        </is>
      </c>
      <c r="I5" s="16" t="inlineStr">
        <is>
          <t>All zones segmented. 100% remote access paths documented and MFA'd. Compensating controls signed off.</t>
        </is>
      </c>
      <c r="J5" s="16" t="inlineStr">
        <is>
          <t>No — within programme approval</t>
        </is>
      </c>
      <c r="K5" s="37" t="inlineStr">
        <is>
          <t>⏳ Planned</t>
        </is>
      </c>
    </row>
    <row r="6" ht="60" customHeight="1">
      <c r="A6" s="18" t="inlineStr">
        <is>
          <t>Phase 3a
Critical Migrations</t>
        </is>
      </c>
      <c r="B6" s="18" t="inlineStr">
        <is>
          <t>Replace ICS-001 (EOL PLC). Replace ICS-004 (EOL HMI). Decommission ICS-010 (undocumented modem).</t>
        </is>
      </c>
      <c r="C6" s="18" t="inlineStr">
        <is>
          <t>MtU #04 execution records per device. MtU #05 validation reports. Updated asset inventory.</t>
        </is>
      </c>
      <c r="D6" s="17" t="n">
        <v>180000</v>
      </c>
      <c r="E6" s="18" t="inlineStr">
        <is>
          <t>Month 7–12</t>
        </is>
      </c>
      <c r="F6" s="18" t="inlineStr">
        <is>
          <t>3 Critical-priority assets remediated. CVE-2019-13945 and CVE-2021-37185 eliminated. 2 EOL devices → Active support.</t>
        </is>
      </c>
      <c r="G6" s="18" t="inlineStr">
        <is>
          <t>4 High-priority assets still pending Phase 3b. All have compensating controls from Phase 2.</t>
        </is>
      </c>
      <c r="H6" s="18" t="inlineStr">
        <is>
          <t>Art.21(2)(e)(f)(h) — controls validated, asset management updated.</t>
        </is>
      </c>
      <c r="I6" s="18" t="inlineStr">
        <is>
          <t>All 3 critical devices migrated and validated. Validation reports signed. Risk register updated.</t>
        </is>
      </c>
      <c r="J6" s="36" t="inlineStr">
        <is>
          <t>Yes — Phase 3a approval gate</t>
        </is>
      </c>
      <c r="K6" s="37" t="inlineStr">
        <is>
          <t>⏳ Planned</t>
        </is>
      </c>
    </row>
    <row r="7" ht="60" customHeight="1">
      <c r="A7" s="16" t="inlineStr">
        <is>
          <t>Phase 3b
High Migrations</t>
        </is>
      </c>
      <c r="B7" s="16" t="inlineStr">
        <is>
          <t>Patch ICS-003 (RTU — CVE-2022-37300). Upgrade ICS-007 (Historian — CVE-2023-31409 + OPC-UA migration).</t>
        </is>
      </c>
      <c r="C7" s="16" t="inlineStr">
        <is>
          <t>MtU #04 execution records. MtU #05 validation reports. Updated network topology.</t>
        </is>
      </c>
      <c r="D7" s="17" t="n">
        <v>95000</v>
      </c>
      <c r="E7" s="16" t="inlineStr">
        <is>
          <t>Month 13–18</t>
        </is>
      </c>
      <c r="F7" s="16" t="inlineStr">
        <is>
          <t>All known CVEs remediated. Historian upgraded — IT/OT bridge risk eliminated. OPC-UA replaces OPC-DA.</t>
        </is>
      </c>
      <c r="G7" s="16" t="inlineStr">
        <is>
          <t>Ongoing monitoring and quarterly reviews required. No critical or high unmitigated risks remaining.</t>
        </is>
      </c>
      <c r="H7" s="16" t="inlineStr">
        <is>
          <t>Art.21(2)(e)(f)(h)(i) — full controls validated.</t>
        </is>
      </c>
      <c r="I7" s="16" t="inlineStr">
        <is>
          <t>All CVEs patched or devices replaced. Validation signed. No open critical or high risk items.</t>
        </is>
      </c>
      <c r="J7" s="16" t="inlineStr">
        <is>
          <t>No — within programme approval</t>
        </is>
      </c>
      <c r="K7" s="37" t="inlineStr">
        <is>
          <t>⏳ Planned</t>
        </is>
      </c>
    </row>
    <row r="8" ht="60" customHeight="1">
      <c r="A8" s="18" t="inlineStr">
        <is>
          <t>Phase 4+5
Validate &amp; Operate</t>
        </is>
      </c>
      <c r="B8" s="18" t="inlineStr">
        <is>
          <t>Compliance evidence pack. Audit readiness checklist. Ongoing vulnerability management. Quarterly reviews.</t>
        </is>
      </c>
      <c r="C8" s="18" t="inlineStr">
        <is>
          <t>MtU #05 evidence pack. MtU #06 operate &amp; monitor programme. Annual compliance calendar.</t>
        </is>
      </c>
      <c r="D8" s="17" t="n">
        <v>35000</v>
      </c>
      <c r="E8" s="18" t="inlineStr">
        <is>
          <t>Month 18–24 ongoing</t>
        </is>
      </c>
      <c r="F8" s="18" t="inlineStr">
        <is>
          <t>Full NIS2 Article 21 compliance demonstrable. Audit-ready evidence pack. Insurance position improved.</t>
        </is>
      </c>
      <c r="G8" s="18" t="inlineStr">
        <is>
          <t>Ongoing monitoring required — Phase 5 has no end date. Annual evidence pack refresh.</t>
        </is>
      </c>
      <c r="H8" s="18" t="inlineStr">
        <is>
          <t>Full NIS2 Article 21 compliance. IEC 62443 SL-2 demonstrated.</t>
        </is>
      </c>
      <c r="I8" s="18" t="inlineStr">
        <is>
          <t>Annual compliance evidence pack complete. OT security owner named. Quarterly review cadence established.</t>
        </is>
      </c>
      <c r="J8" s="18" t="inlineStr">
        <is>
          <t>No — operational</t>
        </is>
      </c>
      <c r="K8" s="37" t="inlineStr">
        <is>
          <t>⏳ Planned</t>
        </is>
      </c>
    </row>
    <row r="9" ht="30" customHeight="1">
      <c r="A9" s="19" t="inlineStr">
        <is>
          <t>TOTAL PROGRAMME INVESTMENT</t>
        </is>
      </c>
      <c r="B9" s="20" t="n"/>
      <c r="C9" s="20" t="n"/>
      <c r="D9" s="21" t="n">
        <v>420000</v>
      </c>
      <c r="E9" s="20" t="n"/>
      <c r="F9" s="20" t="inlineStr">
        <is>
          <t>All Critical and High risks retired. Full NIS2 Article 21 compliance demonstrable.</t>
        </is>
      </c>
      <c r="G9" s="20" t="n"/>
      <c r="H9" s="20" t="n"/>
      <c r="I9" s="20" t="n"/>
      <c r="J9" s="20" t="n"/>
      <c r="K9" s="20" t="n"/>
    </row>
  </sheetData>
  <mergeCells count="1">
    <mergeCell ref="A2:K2"/>
  </mergeCells>
  <dataValidations count="1">
    <dataValidation sqref="K4:K9" showDropDown="0" showInputMessage="0" showErrorMessage="0" allowBlank="1" type="list">
      <formula1>"⏳ Planned,✅ Complete,🔴 On Hold,In Progress"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</cols>
  <sheetData>
    <row r="1" ht="8" customHeight="1"/>
    <row r="2" ht="44" customHeight="1">
      <c r="A2" s="25" t="inlineStr">
        <is>
          <t>📉  Risk Reduction Tracker  |  Asset-Level Risk Journey  |  [MtU #07]</t>
        </is>
      </c>
    </row>
    <row r="3" ht="40" customHeight="1">
      <c r="A3" s="15" t="inlineStr">
        <is>
          <t>Asset ID</t>
        </is>
      </c>
      <c r="B3" s="15" t="inlineStr">
        <is>
          <t>Asset Name</t>
        </is>
      </c>
      <c r="C3" s="15" t="inlineStr">
        <is>
          <t>Pre-Programme Risk</t>
        </is>
      </c>
      <c r="D3" s="15" t="inlineStr">
        <is>
          <t>Risk Score (Phase 1)</t>
        </is>
      </c>
      <c r="E3" s="15" t="inlineStr">
        <is>
          <t>After Phase 2</t>
        </is>
      </c>
      <c r="F3" s="15" t="inlineStr">
        <is>
          <t>After Phase 3a</t>
        </is>
      </c>
      <c r="G3" s="15" t="inlineStr">
        <is>
          <t>After Phase 3b</t>
        </is>
      </c>
      <c r="H3" s="15" t="inlineStr">
        <is>
          <t>After Phase 4+5</t>
        </is>
      </c>
      <c r="I3" s="15" t="inlineStr">
        <is>
          <t>Investment Phase</t>
        </is>
      </c>
      <c r="J3" s="15" t="inlineStr">
        <is>
          <t>Est. Cost</t>
        </is>
      </c>
      <c r="K3" s="15" t="inlineStr">
        <is>
          <t>Current Status</t>
        </is>
      </c>
    </row>
    <row r="4" ht="30" customHeight="1">
      <c r="A4" s="18" t="inlineStr">
        <is>
          <t>ICS-001</t>
        </is>
      </c>
      <c r="B4" s="18" t="inlineStr">
        <is>
          <t>PLC-UNIT-01</t>
        </is>
      </c>
      <c r="C4" s="38" t="inlineStr">
        <is>
          <t>🔴 Critical</t>
        </is>
      </c>
      <c r="D4" s="16" t="n">
        <v>36</v>
      </c>
      <c r="E4" s="37" t="inlineStr">
        <is>
          <t>🟠 High (controls)</t>
        </is>
      </c>
      <c r="F4" s="39" t="inlineStr">
        <is>
          <t>✅ Migrated</t>
        </is>
      </c>
      <c r="G4" s="39" t="inlineStr">
        <is>
          <t>✅ Validated</t>
        </is>
      </c>
      <c r="H4" s="39" t="inlineStr">
        <is>
          <t>✅ Closed</t>
        </is>
      </c>
      <c r="I4" s="18" t="inlineStr">
        <is>
          <t>Phase 3a</t>
        </is>
      </c>
      <c r="J4" s="40" t="n">
        <v>55000</v>
      </c>
      <c r="K4" s="16" t="inlineStr">
        <is>
          <t>⏳ Phase 3a planned</t>
        </is>
      </c>
    </row>
    <row r="5" ht="30" customHeight="1">
      <c r="A5" s="16" t="inlineStr">
        <is>
          <t>ICS-002</t>
        </is>
      </c>
      <c r="B5" s="16" t="inlineStr">
        <is>
          <t>PLC-UNIT-02</t>
        </is>
      </c>
      <c r="C5" s="39" t="inlineStr">
        <is>
          <t>🟢 Low</t>
        </is>
      </c>
      <c r="D5" s="16" t="n">
        <v>2</v>
      </c>
      <c r="E5" s="39" t="inlineStr">
        <is>
          <t>🟢 Low</t>
        </is>
      </c>
      <c r="F5" s="39" t="inlineStr">
        <is>
          <t>🟢 Low</t>
        </is>
      </c>
      <c r="G5" s="39" t="inlineStr">
        <is>
          <t>🟢 Low</t>
        </is>
      </c>
      <c r="H5" s="39" t="inlineStr">
        <is>
          <t>🟢 Low</t>
        </is>
      </c>
      <c r="I5" s="16" t="inlineStr">
        <is>
          <t>None — monitor</t>
        </is>
      </c>
      <c r="J5" s="40" t="n">
        <v>0</v>
      </c>
      <c r="K5" s="39" t="inlineStr">
        <is>
          <t>✅ No action needed</t>
        </is>
      </c>
    </row>
    <row r="6" ht="30" customHeight="1">
      <c r="A6" s="18" t="inlineStr">
        <is>
          <t>ICS-003</t>
        </is>
      </c>
      <c r="B6" s="18" t="inlineStr">
        <is>
          <t>RTU-REMOTE-01</t>
        </is>
      </c>
      <c r="C6" s="36" t="inlineStr">
        <is>
          <t>🟠 High</t>
        </is>
      </c>
      <c r="D6" s="16" t="n">
        <v>60</v>
      </c>
      <c r="E6" s="37" t="inlineStr">
        <is>
          <t>🟡 Medium (modem removed)</t>
        </is>
      </c>
      <c r="F6" s="37" t="inlineStr">
        <is>
          <t>🟡 Medium</t>
        </is>
      </c>
      <c r="G6" s="39" t="inlineStr">
        <is>
          <t>✅ Patched</t>
        </is>
      </c>
      <c r="H6" s="39" t="inlineStr">
        <is>
          <t>✅ Closed</t>
        </is>
      </c>
      <c r="I6" s="18" t="inlineStr">
        <is>
          <t>Phase 3b</t>
        </is>
      </c>
      <c r="J6" s="40" t="n">
        <v>35000</v>
      </c>
      <c r="K6" s="16" t="inlineStr">
        <is>
          <t>⏳ Phase 3b planned</t>
        </is>
      </c>
    </row>
    <row r="7" ht="30" customHeight="1">
      <c r="A7" s="16" t="inlineStr">
        <is>
          <t>ICS-004</t>
        </is>
      </c>
      <c r="B7" s="16" t="inlineStr">
        <is>
          <t>HMI-CTRL-01</t>
        </is>
      </c>
      <c r="C7" s="38" t="inlineStr">
        <is>
          <t>🔴 Critical</t>
        </is>
      </c>
      <c r="D7" s="16" t="n">
        <v>45</v>
      </c>
      <c r="E7" s="36" t="inlineStr">
        <is>
          <t>🟠 High (isolated)</t>
        </is>
      </c>
      <c r="F7" s="39" t="inlineStr">
        <is>
          <t>✅ Migrated</t>
        </is>
      </c>
      <c r="G7" s="39" t="inlineStr">
        <is>
          <t>✅ Validated</t>
        </is>
      </c>
      <c r="H7" s="39" t="inlineStr">
        <is>
          <t>✅ Closed</t>
        </is>
      </c>
      <c r="I7" s="16" t="inlineStr">
        <is>
          <t>Phase 3a</t>
        </is>
      </c>
      <c r="J7" s="40" t="n">
        <v>75000</v>
      </c>
      <c r="K7" s="16" t="inlineStr">
        <is>
          <t>⏳ Phase 3a planned</t>
        </is>
      </c>
    </row>
    <row r="8" ht="30" customHeight="1">
      <c r="A8" s="18" t="inlineStr">
        <is>
          <t>ICS-005</t>
        </is>
      </c>
      <c r="B8" s="18" t="inlineStr">
        <is>
          <t>EWS-ENG-01</t>
        </is>
      </c>
      <c r="C8" s="37" t="inlineStr">
        <is>
          <t>🟡 Medium</t>
        </is>
      </c>
      <c r="D8" s="16" t="n">
        <v>24</v>
      </c>
      <c r="E8" s="39" t="inlineStr">
        <is>
          <t>✅ Hardened (MFA)</t>
        </is>
      </c>
      <c r="F8" s="39" t="inlineStr">
        <is>
          <t>✅ Hardened</t>
        </is>
      </c>
      <c r="G8" s="39" t="inlineStr">
        <is>
          <t>✅ Hardened</t>
        </is>
      </c>
      <c r="H8" s="39" t="inlineStr">
        <is>
          <t>✅ Closed</t>
        </is>
      </c>
      <c r="I8" s="18" t="inlineStr">
        <is>
          <t>Phase 2</t>
        </is>
      </c>
      <c r="J8" s="40" t="n">
        <v>8000</v>
      </c>
      <c r="K8" s="39" t="inlineStr">
        <is>
          <t>✅ Phase 2 complete</t>
        </is>
      </c>
    </row>
    <row r="9" ht="30" customHeight="1">
      <c r="A9" s="16" t="inlineStr">
        <is>
          <t>ICS-006</t>
        </is>
      </c>
      <c r="B9" s="16" t="inlineStr">
        <is>
          <t>DCS-NODE-01</t>
        </is>
      </c>
      <c r="C9" s="37" t="inlineStr">
        <is>
          <t>🟡 Medium</t>
        </is>
      </c>
      <c r="D9" s="16" t="n">
        <v>20</v>
      </c>
      <c r="E9" s="37" t="inlineStr">
        <is>
          <t>🟡 Medium (data diode)</t>
        </is>
      </c>
      <c r="F9" s="37" t="inlineStr">
        <is>
          <t>🟡 Medium</t>
        </is>
      </c>
      <c r="G9" s="37" t="inlineStr">
        <is>
          <t>🟡 Medium</t>
        </is>
      </c>
      <c r="H9" s="39" t="inlineStr">
        <is>
          <t>✅ Closed</t>
        </is>
      </c>
      <c r="I9" s="16" t="inlineStr">
        <is>
          <t>Phase 4+5</t>
        </is>
      </c>
      <c r="J9" s="40" t="n">
        <v>0</v>
      </c>
      <c r="K9" s="39" t="inlineStr">
        <is>
          <t>✅ Monitoring only</t>
        </is>
      </c>
    </row>
    <row r="10" ht="30" customHeight="1">
      <c r="A10" s="18" t="inlineStr">
        <is>
          <t>ICS-007</t>
        </is>
      </c>
      <c r="B10" s="18" t="inlineStr">
        <is>
          <t>HIST-01</t>
        </is>
      </c>
      <c r="C10" s="36" t="inlineStr">
        <is>
          <t>🟠 High</t>
        </is>
      </c>
      <c r="D10" s="16" t="n">
        <v>24</v>
      </c>
      <c r="E10" s="37" t="inlineStr">
        <is>
          <t>🟡 Medium (FW rules)</t>
        </is>
      </c>
      <c r="F10" s="37" t="inlineStr">
        <is>
          <t>🟡 Medium</t>
        </is>
      </c>
      <c r="G10" s="39" t="inlineStr">
        <is>
          <t>✅ Upgraded</t>
        </is>
      </c>
      <c r="H10" s="39" t="inlineStr">
        <is>
          <t>✅ Closed</t>
        </is>
      </c>
      <c r="I10" s="18" t="inlineStr">
        <is>
          <t>Phase 3b</t>
        </is>
      </c>
      <c r="J10" s="40" t="n">
        <v>60000</v>
      </c>
      <c r="K10" s="16" t="inlineStr">
        <is>
          <t>⏳ Phase 3b planned</t>
        </is>
      </c>
    </row>
    <row r="11" ht="30" customHeight="1">
      <c r="A11" s="16" t="inlineStr">
        <is>
          <t>ICS-008</t>
        </is>
      </c>
      <c r="B11" s="16" t="inlineStr">
        <is>
          <t>SENSOR-TMP-01</t>
        </is>
      </c>
      <c r="C11" s="39" t="inlineStr">
        <is>
          <t>🟢 Low</t>
        </is>
      </c>
      <c r="D11" s="16" t="n">
        <v>3</v>
      </c>
      <c r="E11" s="39" t="inlineStr">
        <is>
          <t>🟢 Low</t>
        </is>
      </c>
      <c r="F11" s="39" t="inlineStr">
        <is>
          <t>🟢 Low</t>
        </is>
      </c>
      <c r="G11" s="39" t="inlineStr">
        <is>
          <t>🟢 Low</t>
        </is>
      </c>
      <c r="H11" s="39" t="inlineStr">
        <is>
          <t>🟢 Low</t>
        </is>
      </c>
      <c r="I11" s="16" t="inlineStr">
        <is>
          <t>None — monitor</t>
        </is>
      </c>
      <c r="J11" s="40" t="n">
        <v>0</v>
      </c>
      <c r="K11" s="39" t="inlineStr">
        <is>
          <t>✅ No action needed</t>
        </is>
      </c>
    </row>
    <row r="12" ht="30" customHeight="1">
      <c r="A12" s="18" t="inlineStr">
        <is>
          <t>ICS-009</t>
        </is>
      </c>
      <c r="B12" s="18" t="inlineStr">
        <is>
          <t>FIREWALL-OT-01</t>
        </is>
      </c>
      <c r="C12" s="37" t="inlineStr">
        <is>
          <t>🟡 Medium</t>
        </is>
      </c>
      <c r="D12" s="16" t="n">
        <v>15</v>
      </c>
      <c r="E12" s="39" t="inlineStr">
        <is>
          <t>✅ Audited (Phase 2)</t>
        </is>
      </c>
      <c r="F12" s="39" t="inlineStr">
        <is>
          <t>✅ Audited</t>
        </is>
      </c>
      <c r="G12" s="39" t="inlineStr">
        <is>
          <t>✅ Audited</t>
        </is>
      </c>
      <c r="H12" s="39" t="inlineStr">
        <is>
          <t>✅ Closed</t>
        </is>
      </c>
      <c r="I12" s="18" t="inlineStr">
        <is>
          <t>Phase 2</t>
        </is>
      </c>
      <c r="J12" s="40" t="n">
        <v>5000</v>
      </c>
      <c r="K12" s="39" t="inlineStr">
        <is>
          <t>✅ Phase 2 complete</t>
        </is>
      </c>
    </row>
    <row r="13" ht="30" customHeight="1">
      <c r="A13" s="16" t="inlineStr">
        <is>
          <t>ICS-010</t>
        </is>
      </c>
      <c r="B13" s="16" t="inlineStr">
        <is>
          <t>MODEM-4G-UNKN</t>
        </is>
      </c>
      <c r="C13" s="38" t="inlineStr">
        <is>
          <t>🔴 Critical</t>
        </is>
      </c>
      <c r="D13" s="16" t="n">
        <v>125</v>
      </c>
      <c r="E13" s="39" t="inlineStr">
        <is>
          <t>✅ Disconnected</t>
        </is>
      </c>
      <c r="F13" s="39" t="inlineStr">
        <is>
          <t>✅ Decommissioned</t>
        </is>
      </c>
      <c r="G13" s="39" t="inlineStr">
        <is>
          <t>✅ Decommissioned</t>
        </is>
      </c>
      <c r="H13" s="39" t="inlineStr">
        <is>
          <t>✅ Closed</t>
        </is>
      </c>
      <c r="I13" s="16" t="inlineStr">
        <is>
          <t>Phase 2</t>
        </is>
      </c>
      <c r="J13" s="40" t="n">
        <v>2000</v>
      </c>
      <c r="K13" s="39" t="inlineStr">
        <is>
          <t>✅ Disconnected — Phase 0</t>
        </is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8" customHeight="1"/>
    <row r="2" ht="44" customHeight="1">
      <c r="A2" s="25" t="inlineStr">
        <is>
          <t>🎯  Sensitivity Analysis  |  What If Costs Are Higher? What If an Incident Occurs?  |  [MtU #07]</t>
        </is>
      </c>
    </row>
    <row r="3" ht="22" customHeight="1">
      <c r="B3" s="26" t="inlineStr">
        <is>
          <t>Finance will ask: what if it costs more than estimated? What if an incident occurs during the programme? This sheet answers both.</t>
        </is>
      </c>
    </row>
    <row r="5" ht="24" customHeight="1">
      <c r="B5" s="3" t="inlineStr">
        <is>
          <t>SCENARIO 1 — COST OVERRUN</t>
        </is>
      </c>
    </row>
    <row r="6" ht="28" customHeight="1">
      <c r="B6" s="15" t="inlineStr">
        <is>
          <t>Scenario</t>
        </is>
      </c>
      <c r="C6" s="15" t="inlineStr">
        <is>
          <t>Base Case</t>
        </is>
      </c>
      <c r="D6" s="15" t="inlineStr">
        <is>
          <t>+25% Overrun</t>
        </is>
      </c>
      <c r="E6" s="15" t="inlineStr">
        <is>
          <t>+50% Overrun</t>
        </is>
      </c>
      <c r="F6" s="15" t="inlineStr">
        <is>
          <t>Still cheaper than...</t>
        </is>
      </c>
    </row>
    <row r="7" ht="26" customHeight="1">
      <c r="B7" s="8" t="inlineStr">
        <is>
          <t>Total programme investment</t>
        </is>
      </c>
      <c r="C7" s="41" t="n">
        <v>420000</v>
      </c>
      <c r="D7" s="42" t="n">
        <v>525000</v>
      </c>
      <c r="E7" s="43" t="n">
        <v>630000</v>
      </c>
      <c r="F7" s="16" t="inlineStr">
        <is>
          <t>One week of ransomware downtime</t>
        </is>
      </c>
    </row>
    <row r="8" ht="26" customHeight="1">
      <c r="B8" s="44" t="inlineStr">
        <is>
          <t>Phase 0+1 only</t>
        </is>
      </c>
      <c r="C8" s="41" t="n">
        <v>25000</v>
      </c>
      <c r="D8" s="42" t="n">
        <v>31250</v>
      </c>
      <c r="E8" s="43" t="n">
        <v>37500</v>
      </c>
      <c r="F8" s="18" t="inlineStr">
        <is>
          <t>One shift of unplanned downtime</t>
        </is>
      </c>
    </row>
    <row r="9" ht="26" customHeight="1">
      <c r="B9" s="8" t="inlineStr">
        <is>
          <t>Phase 2 only</t>
        </is>
      </c>
      <c r="C9" s="41" t="n">
        <v>85000</v>
      </c>
      <c r="D9" s="42" t="n">
        <v>106250</v>
      </c>
      <c r="E9" s="43" t="n">
        <v>127500</v>
      </c>
      <c r="F9" s="16" t="inlineStr">
        <is>
          <t>Two days of unplanned downtime</t>
        </is>
      </c>
    </row>
    <row r="10" ht="26" customHeight="1">
      <c r="B10" s="44" t="inlineStr">
        <is>
          <t>Phase 3a — critical migrations</t>
        </is>
      </c>
      <c r="C10" s="41" t="n">
        <v>180000</v>
      </c>
      <c r="D10" s="42" t="n">
        <v>225000</v>
      </c>
      <c r="E10" s="43" t="n">
        <v>270000</v>
      </c>
      <c r="F10" s="18" t="inlineStr">
        <is>
          <t>Four days of unplanned downtime</t>
        </is>
      </c>
    </row>
    <row r="13" ht="24" customHeight="1">
      <c r="B13" s="3" t="inlineStr">
        <is>
          <t>SCENARIO 2 — INCIDENT OCCURS DURING PROGRAMME</t>
        </is>
      </c>
    </row>
    <row r="14" ht="28" customHeight="1">
      <c r="B14" s="26" t="inlineStr">
        <is>
          <t>If an incident occurs after Phase 2 is complete, the financial and regulatory position is significantly better than pre-programme. This table shows why.</t>
        </is>
      </c>
    </row>
    <row r="15" ht="28" customHeight="1">
      <c r="B15" s="15" t="inlineStr">
        <is>
          <t>Factor</t>
        </is>
      </c>
      <c r="C15" s="15" t="inlineStr">
        <is>
          <t>Pre-Programme</t>
        </is>
      </c>
      <c r="D15" s="15" t="inlineStr">
        <is>
          <t>After Phase 2</t>
        </is>
      </c>
      <c r="E15" s="15" t="inlineStr">
        <is>
          <t>After Phase 3 Complete</t>
        </is>
      </c>
    </row>
    <row r="16" ht="36" customHeight="1">
      <c r="B16" s="18" t="inlineStr">
        <is>
          <t>Blast radius of incident</t>
        </is>
      </c>
      <c r="C16" s="45" t="inlineStr">
        <is>
          <t>Entire flat network — all assets reachable</t>
        </is>
      </c>
      <c r="D16" s="46" t="inlineStr">
        <is>
          <t>Contained to compromised zone only</t>
        </is>
      </c>
      <c r="E16" s="47" t="inlineStr">
        <is>
          <t>Single device — compensating controls limit spread</t>
        </is>
      </c>
    </row>
    <row r="17" ht="36" customHeight="1">
      <c r="B17" s="16" t="inlineStr">
        <is>
          <t>Undocumented access paths</t>
        </is>
      </c>
      <c r="C17" s="45" t="inlineStr">
        <is>
          <t>Multiple unknown — 4G modem, legacy modem</t>
        </is>
      </c>
      <c r="D17" s="46" t="inlineStr">
        <is>
          <t>All documented and controlled</t>
        </is>
      </c>
      <c r="E17" s="47" t="inlineStr">
        <is>
          <t>None — all paths verified</t>
        </is>
      </c>
    </row>
    <row r="18" ht="36" customHeight="1">
      <c r="B18" s="18" t="inlineStr">
        <is>
          <t>NIS2 penalty exposure</t>
        </is>
      </c>
      <c r="C18" s="45" t="inlineStr">
        <is>
          <t>Full exposure — no demonstrable controls</t>
        </is>
      </c>
      <c r="D18" s="46" t="inlineStr">
        <is>
          <t>Reduced — segmentation evidence available</t>
        </is>
      </c>
      <c r="E18" s="47" t="inlineStr">
        <is>
          <t>Minimal — full Article 21 compliance demonstrable</t>
        </is>
      </c>
    </row>
    <row r="19" ht="36" customHeight="1">
      <c r="B19" s="16" t="inlineStr">
        <is>
          <t>Insurance claim position</t>
        </is>
      </c>
      <c r="C19" s="45" t="inlineStr">
        <is>
          <t>Uncertain — controls not demonstrable</t>
        </is>
      </c>
      <c r="D19" s="46" t="inlineStr">
        <is>
          <t>Stronger — Phase 2 evidence available</t>
        </is>
      </c>
      <c r="E19" s="47" t="inlineStr">
        <is>
          <t>Strong — full validation evidence pack</t>
        </is>
      </c>
    </row>
    <row r="20" ht="36" customHeight="1">
      <c r="B20" s="18" t="inlineStr">
        <is>
          <t>Recovery time estimate</t>
        </is>
      </c>
      <c r="C20" s="45" t="inlineStr">
        <is>
          <t>Weeks — no baseline, no documentation</t>
        </is>
      </c>
      <c r="D20" s="46" t="inlineStr">
        <is>
          <t>Days — baseline and change records exist</t>
        </is>
      </c>
      <c r="E20" s="47" t="inlineStr">
        <is>
          <t>Hours to days — full documentation and staging environment</t>
        </is>
      </c>
    </row>
    <row r="21" ht="36" customHeight="1">
      <c r="B21" s="16" t="inlineStr">
        <is>
          <t>Management liability</t>
        </is>
      </c>
      <c r="C21" s="45" t="inlineStr">
        <is>
          <t>High — no documented programme</t>
        </is>
      </c>
      <c r="D21" s="46" t="inlineStr">
        <is>
          <t>Reduced — programme in progress</t>
        </is>
      </c>
      <c r="E21" s="47" t="inlineStr">
        <is>
          <t>Low — full documented programme with evidence</t>
        </is>
      </c>
    </row>
  </sheetData>
  <mergeCells count="5">
    <mergeCell ref="A2:F2"/>
    <mergeCell ref="B3:F3"/>
    <mergeCell ref="B5:F5"/>
    <mergeCell ref="B14:F14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" customWidth="1" min="4" max="4"/>
  </cols>
  <sheetData>
    <row r="1" ht="8" customHeight="1"/>
    <row r="2" ht="44" customHeight="1">
      <c r="A2" s="25" t="inlineStr">
        <is>
          <t>📖  Reference  |  Business Case Language, OT Translation Guide &amp; Financial Framework</t>
        </is>
      </c>
    </row>
    <row r="4" ht="24" customHeight="1">
      <c r="B4" s="3" t="inlineStr">
        <is>
          <t>TRANSLATING OT TO BUSINESS LANGUAGE</t>
        </is>
      </c>
    </row>
    <row r="5" ht="44" customHeight="1">
      <c r="B5" s="4" t="inlineStr">
        <is>
          <t>EOL device with CVE</t>
        </is>
      </c>
      <c r="C5" s="8" t="inlineStr">
        <is>
          <t>Uninsurable asset with a known, publicly documented exploit path.</t>
        </is>
      </c>
    </row>
    <row r="6" ht="44" customHeight="1">
      <c r="B6" s="4" t="inlineStr">
        <is>
          <t>No network segmentation</t>
        </is>
      </c>
      <c r="C6" s="8" t="inlineStr">
        <is>
          <t>Single point of failure across the entire facility — one compromised device reaches everything.</t>
        </is>
      </c>
    </row>
    <row r="7" ht="44" customHeight="1">
      <c r="B7" s="4" t="inlineStr">
        <is>
          <t>Legacy protocol with no auth</t>
        </is>
      </c>
      <c r="C7" s="8" t="inlineStr">
        <is>
          <t>An open door with no lock. Visible from any connected network. No credentials required to send commands.</t>
        </is>
      </c>
    </row>
    <row r="8" ht="44" customHeight="1">
      <c r="B8" s="4" t="inlineStr">
        <is>
          <t>99.9% uptime requirement</t>
        </is>
      </c>
      <c r="C8" s="8" t="inlineStr">
        <is>
          <t>€X per hour revenue at risk during any unplanned incident. Calculate using the Incident Cost Model sheet.</t>
        </is>
      </c>
    </row>
    <row r="9" ht="44" customHeight="1">
      <c r="B9" s="4" t="inlineStr">
        <is>
          <t>NIS2 Article 21 compliance</t>
        </is>
      </c>
      <c r="C9" s="8" t="inlineStr">
        <is>
          <t>Legal obligation. Management personal liability established by statute. Not a best practice — a legal requirement already in force.</t>
        </is>
      </c>
    </row>
    <row r="10" ht="44" customHeight="1">
      <c r="B10" s="4" t="inlineStr">
        <is>
          <t>Compensating controls</t>
        </is>
      </c>
      <c r="C10" s="8" t="inlineStr">
        <is>
          <t>Interim risk mitigation — not a permanent solution. Time-bounded with committed replacement dates.</t>
        </is>
      </c>
    </row>
    <row r="11" ht="44" customHeight="1">
      <c r="B11" s="4" t="inlineStr">
        <is>
          <t>Phase 0 asset discovery</t>
        </is>
      </c>
      <c r="C11" s="8" t="inlineStr">
        <is>
          <t>You cannot protect what you don't know you have. The inventory is the prerequisite for every other investment.</t>
        </is>
      </c>
    </row>
    <row r="12" ht="44" customHeight="1">
      <c r="B12" s="4" t="inlineStr">
        <is>
          <t>Validation evidence pack</t>
        </is>
      </c>
      <c r="C12" s="8" t="inlineStr">
        <is>
          <t>The documentation that answers an auditor, insurer or board when they ask: how do you know your controls work?</t>
        </is>
      </c>
    </row>
    <row r="14" ht="24" customHeight="1">
      <c r="B14" s="3" t="inlineStr">
        <is>
          <t>THE FOUR NUMBERS EVERY BUSINESS CASE NEEDS</t>
        </is>
      </c>
    </row>
    <row r="15" ht="44" customHeight="1">
      <c r="B15" s="4" t="inlineStr">
        <is>
          <t>① Hourly downtime cost</t>
        </is>
      </c>
      <c r="C15" s="8" t="inlineStr">
        <is>
          <t>Lost margin + fixed costs per hour. For most industrial facilities: €10,000–€100,000/hr. Calculate in the Incident Cost Model sheet.</t>
        </is>
      </c>
    </row>
    <row r="16" ht="44" customHeight="1">
      <c r="B16" s="4" t="inlineStr">
        <is>
          <t>② Regulatory exposure</t>
        </is>
      </c>
      <c r="C16" s="8" t="inlineStr">
        <is>
          <t>NIS2: up to €10M or 2% of global annual turnover. Management personal liability. ICS-CERT incidents triggering mandatory reporting within 24 hours.</t>
        </is>
      </c>
    </row>
    <row r="17" ht="44" customHeight="1">
      <c r="B17" s="4" t="inlineStr">
        <is>
          <t>③ Insurance position</t>
        </is>
      </c>
      <c r="C17" s="8" t="inlineStr">
        <is>
          <t>Current premium vs. post-programme premium. Uninsured exposure if controls cannot be demonstrated. Confirm with your insurer.</t>
        </is>
      </c>
    </row>
    <row r="18" ht="44" customHeight="1">
      <c r="B18" s="4" t="inlineStr">
        <is>
          <t>④ Cost of doing nothing</t>
        </is>
      </c>
      <c r="C18" s="8" t="inlineStr">
        <is>
          <t>Annualised risk exposure from the scenario model. This is the number that reframes the investment conversation. The programme cost is not a spend — it's the price of avoiding a much larger unplanned spend.</t>
        </is>
      </c>
    </row>
    <row r="20" ht="24" customHeight="1">
      <c r="B20" s="3" t="inlineStr">
        <is>
          <t>PHASED APPROVAL STRATEGY</t>
        </is>
      </c>
    </row>
    <row r="21" ht="44" customHeight="1">
      <c r="B21" s="4" t="inlineStr">
        <is>
          <t>Why phased approval works</t>
        </is>
      </c>
      <c r="C21" s="8" t="inlineStr">
        <is>
          <t>A €420K programme presented as one line item gets deferred. The same programme presented as five phases with discrete risk reduction at each stage gets approved incrementally.</t>
        </is>
      </c>
    </row>
    <row r="22" ht="44" customHeight="1">
      <c r="B22" s="4" t="inlineStr">
        <is>
          <t>Phase 0+1 as the entry point</t>
        </is>
      </c>
      <c r="C22" s="8" t="inlineStr">
        <is>
          <t>€25K to know what you have. Impossible to argue against. Creates the evidence base that justifies every subsequent phase. Always the right first ask.</t>
        </is>
      </c>
    </row>
    <row r="23" ht="44" customHeight="1">
      <c r="B23" s="4" t="inlineStr">
        <is>
          <t>Board gates</t>
        </is>
      </c>
      <c r="C23" s="8" t="inlineStr">
        <is>
          <t>Phase 0+1 and Phase 3a require board approval gates. Phases 2, 3b and 4+5 proceed within programme approval. This limits the number of return visits while maintaining governance.</t>
        </is>
      </c>
    </row>
    <row r="24" ht="44" customHeight="1">
      <c r="B24" s="4" t="inlineStr">
        <is>
          <t>The no-decision is a decision</t>
        </is>
      </c>
      <c r="C24" s="8" t="inlineStr">
        <is>
          <t>Deferring the programme is not a neutral act. It is an active choice to accept the annualised risk exposure calculated in the scenario model. Make that explicit in the business case.</t>
        </is>
      </c>
    </row>
    <row r="26" ht="22" customHeight="1">
      <c r="B26" s="24" t="inlineStr">
        <is>
          <t>⚡ Migrating the Unmigrateable — Study Notes | [MtU #07] | Template v1.0 | Cite freely with attribution</t>
        </is>
      </c>
    </row>
  </sheetData>
  <mergeCells count="5">
    <mergeCell ref="B20:C20"/>
    <mergeCell ref="B14:C14"/>
    <mergeCell ref="B26:C26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2026-07-20T07:13:21Z</dcterms:created>
  <dcterms:modified xmlns:dcterms="http://purl.org/dc/terms/" xmlns:xsi="http://www.w3.org/2001/XMLSchema-instance" xsi:type="dcterms:W3CDTF">2026-07-20T07:13:22Z</dcterms:modified>
</cp:coreProperties>
</file>