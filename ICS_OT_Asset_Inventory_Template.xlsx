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📋 Instructions" sheetId="1" state="visible" r:id="rId3"/>
    <sheet name="🖥 Asset Register" sheetId="2" state="visible" r:id="rId4"/>
    <sheet name="🌐 Network Map" sheetId="3" state="visible" r:id="rId5"/>
    <sheet name="🔓 Vuln Flags" sheetId="4" state="visible" r:id="rId6"/>
    <sheet name="📊 Dashboard" sheetId="5" state="visible" r:id="rId7"/>
    <sheet name="🔧 Reference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<sst xmlns="http://schemas.openxmlformats.org/spreadsheetml/2006/main" count="801" uniqueCount="595">
  <si>
    <t xml:space="preserve">ICS / OT ASSET INVENTORY
Phase 0 — Asset Discovery Template</t>
  </si>
  <si>
    <t xml:space="preserve">Suitable for SMB → Enterprise  |  ICS / SCADA / DCS / OT environments</t>
  </si>
  <si>
    <t xml:space="preserve">  ABOUT THIS TEMPLATE</t>
  </si>
  <si>
    <t xml:space="preserve">Purpose</t>
  </si>
  <si>
    <t xml:space="preserve">Comprehensive OT/ICS asset inventory for Phase 0 discovery assessments</t>
  </si>
  <si>
    <t xml:space="preserve">Scope</t>
  </si>
  <si>
    <t xml:space="preserve">Covers all ISA-95 levels: Field devices (L0) through DMZ/Enterprise (L3/L4)</t>
  </si>
  <si>
    <t xml:space="preserve">Standards alignment</t>
  </si>
  <si>
    <t xml:space="preserve">Aligned to IEC 62443, NIST SP 800-82, CIS Controls v8</t>
  </si>
  <si>
    <t xml:space="preserve">Scalability</t>
  </si>
  <si>
    <t xml:space="preserve">Works for a single-site SMB or multi-site enterprise — filter/hide unused columns as needed</t>
  </si>
  <si>
    <t xml:space="preserve">  SHEET GUIDE</t>
  </si>
  <si>
    <t xml:space="preserve">📋 Instructions</t>
  </si>
  <si>
    <t xml:space="preserve">This sheet — how to use the template</t>
  </si>
  <si>
    <t xml:space="preserve">🖥 Asset Register</t>
  </si>
  <si>
    <t xml:space="preserve">Primary inventory — one row per physical/logical asset</t>
  </si>
  <si>
    <t xml:space="preserve">🌐 Network Map</t>
  </si>
  <si>
    <t xml:space="preserve">Network segment &amp; connectivity log</t>
  </si>
  <si>
    <t xml:space="preserve">🔓 Vuln Flags</t>
  </si>
  <si>
    <t xml:space="preserve">Auto-populated CVE/EOL risk flags from Asset Register</t>
  </si>
  <si>
    <t xml:space="preserve">📊 Dashboard</t>
  </si>
  <si>
    <t xml:space="preserve">Summary KPIs and charts auto-calculated from register</t>
  </si>
  <si>
    <t xml:space="preserve">🔧 Reference Data</t>
  </si>
  <si>
    <t xml:space="preserve">Drop-down lists and lookup tables (do not delete)</t>
  </si>
  <si>
    <t xml:space="preserve">  HOW TO USE</t>
  </si>
  <si>
    <t xml:space="preserve">Step 1 — Populate Reference Data</t>
  </si>
  <si>
    <t xml:space="preserve">Review the Reference Data sheet. Add your site names, custom asset types, and owners.</t>
  </si>
  <si>
    <t xml:space="preserve">Step 2 — Passive monitoring</t>
  </si>
  <si>
    <t xml:space="preserve">Connect OT-safe passive monitoring tool (Claroty/Dragos/Nozomi). Export asset list and paste into Asset Register.</t>
  </si>
  <si>
    <t xml:space="preserve">Step 3 — Manual walkdown</t>
  </si>
  <si>
    <t xml:space="preserve">Walk facility with tablet. Add devices found that passive monitoring missed (serial, air-gapped, legacy).</t>
  </si>
  <si>
    <t xml:space="preserve">Step 4 — Documentation review</t>
  </si>
  <si>
    <t xml:space="preserve">Cross-reference P&amp;IDs, vendor contracts, old Visio diagrams. Add gaps as new rows.</t>
  </si>
  <si>
    <t xml:space="preserve">Step 5 — Review Vuln Flags</t>
  </si>
  <si>
    <t xml:space="preserve">Vuln Flags sheet auto-flags EOL, unpatched, and high-CVE devices. Prioritise these for Phase 1.</t>
  </si>
  <si>
    <t xml:space="preserve">Step 6 — Dashboard review</t>
  </si>
  <si>
    <t xml:space="preserve">Share Dashboard tab with stakeholders for executive summary without exposing raw data.</t>
  </si>
  <si>
    <t xml:space="preserve">  DATA CLASSIFICATION WARNING</t>
  </si>
  <si>
    <t xml:space="preserve">⚠  This document contains sensitive OT asset information. Classify per your organisation's data policy.
Recommended minimum: CONFIDENTIAL — RESTRICTED DISTRIBUTION.
Do not store on shared drives without access controls.</t>
  </si>
  <si>
    <t xml:space="preserve">IDENTITY</t>
  </si>
  <si>
    <t xml:space="preserve">HARDWARE</t>
  </si>
  <si>
    <t xml:space="preserve">LIFECYCLE</t>
  </si>
  <si>
    <t xml:space="preserve">NETWORK</t>
  </si>
  <si>
    <t xml:space="preserve">RISK / VULN</t>
  </si>
  <si>
    <t xml:space="preserve">OWNERSHIP</t>
  </si>
  <si>
    <t xml:space="preserve">PROCESS CONTEXT</t>
  </si>
  <si>
    <t xml:space="preserve">DISCOVERY META</t>
  </si>
  <si>
    <t xml:space="preserve">Asset ID</t>
  </si>
  <si>
    <t xml:space="preserve">Asset Name / Tag</t>
  </si>
  <si>
    <t xml:space="preserve">Asset Type</t>
  </si>
  <si>
    <t xml:space="preserve">ISA-95 Level</t>
  </si>
  <si>
    <t xml:space="preserve">Site / Facility</t>
  </si>
  <si>
    <t xml:space="preserve">Area / Zone</t>
  </si>
  <si>
    <t xml:space="preserve">Physical Location</t>
  </si>
  <si>
    <t xml:space="preserve">GPS / Grid Ref</t>
  </si>
  <si>
    <t xml:space="preserve">Manufacturer</t>
  </si>
  <si>
    <t xml:space="preserve">Model / Part No.</t>
  </si>
  <si>
    <t xml:space="preserve">Serial Number</t>
  </si>
  <si>
    <t xml:space="preserve">Firmware Version</t>
  </si>
  <si>
    <t xml:space="preserve">Hardware Revision</t>
  </si>
  <si>
    <t xml:space="preserve">OS / Platform</t>
  </si>
  <si>
    <t xml:space="preserve">OS Version</t>
  </si>
  <si>
    <t xml:space="preserve">CPU / Architecture</t>
  </si>
  <si>
    <t xml:space="preserve">Install Date</t>
  </si>
  <si>
    <t xml:space="preserve">Last Maintenance</t>
  </si>
  <si>
    <t xml:space="preserve">End of Life Date</t>
  </si>
  <si>
    <t xml:space="preserve">Vendor Support Status</t>
  </si>
  <si>
    <t xml:space="preserve">Warranty Expiry</t>
  </si>
  <si>
    <t xml:space="preserve">Asset Criticality</t>
  </si>
  <si>
    <t xml:space="preserve">IP Address</t>
  </si>
  <si>
    <t xml:space="preserve">MAC Address</t>
  </si>
  <si>
    <t xml:space="preserve">Hostname</t>
  </si>
  <si>
    <t xml:space="preserve">Network Segment / VLAN</t>
  </si>
  <si>
    <t xml:space="preserve">Primary Protocol</t>
  </si>
  <si>
    <t xml:space="preserve">Secondary Protocols</t>
  </si>
  <si>
    <t xml:space="preserve">Remote Access</t>
  </si>
  <si>
    <t xml:space="preserve">Remote Access Method</t>
  </si>
  <si>
    <t xml:space="preserve">Known CVEs</t>
  </si>
  <si>
    <t xml:space="preserve">CVE Severity (Max)</t>
  </si>
  <si>
    <t xml:space="preserve">Patch Status</t>
  </si>
  <si>
    <t xml:space="preserve">Last Patch Date</t>
  </si>
  <si>
    <t xml:space="preserve">CRA Compliance Status</t>
  </si>
  <si>
    <t xml:space="preserve">Asset Owner (OT)</t>
  </si>
  <si>
    <t xml:space="preserve">IT Owner / Contact</t>
  </si>
  <si>
    <t xml:space="preserve">Vendor / Integrator</t>
  </si>
  <si>
    <t xml:space="preserve">Vendor Contract Ref</t>
  </si>
  <si>
    <t xml:space="preserve">Process / System</t>
  </si>
  <si>
    <t xml:space="preserve">Safety Function</t>
  </si>
  <si>
    <t xml:space="preserve">SIL Rating</t>
  </si>
  <si>
    <t xml:space="preserve">Impact if Offline</t>
  </si>
  <si>
    <t xml:space="preserve">Manual Override Exists</t>
  </si>
  <si>
    <t xml:space="preserve">Dependencies</t>
  </si>
  <si>
    <t xml:space="preserve">Discovery Method</t>
  </si>
  <si>
    <t xml:space="preserve">Discovery Date</t>
  </si>
  <si>
    <t xml:space="preserve">Last Verified Date</t>
  </si>
  <si>
    <t xml:space="preserve">Verified By</t>
  </si>
  <si>
    <t xml:space="preserve">Notes</t>
  </si>
  <si>
    <t xml:space="preserve">Attachments / Links</t>
  </si>
  <si>
    <t xml:space="preserve">Unique ID — auto-generated or assigned</t>
  </si>
  <si>
    <t xml:space="preserve">Friendly name or plant tag</t>
  </si>
  <si>
    <t xml:space="preserve">PLC / RTU / HMI / DCS / EWS / Historian / Switch / Firewall / Sensor / Other</t>
  </si>
  <si>
    <t xml:space="preserve">0 = Field, 1 = Controller, 2 = Supervisory, 3 = Site Ops, 4 = Enterprise</t>
  </si>
  <si>
    <t xml:space="preserve">Site or facility name</t>
  </si>
  <si>
    <t xml:space="preserve">Plant area, control zone, or network segment</t>
  </si>
  <si>
    <t xml:space="preserve">Building, room, rack, panel ID</t>
  </si>
  <si>
    <t xml:space="preserve">Optional for distributed assets</t>
  </si>
  <si>
    <t xml:space="preserve">Device manufacturer</t>
  </si>
  <si>
    <t xml:space="preserve">Full model number</t>
  </si>
  <si>
    <t xml:space="preserve">Device serial number</t>
  </si>
  <si>
    <t xml:space="preserve">Current installed firmware</t>
  </si>
  <si>
    <t xml:space="preserve">HW revision if applicable</t>
  </si>
  <si>
    <t xml:space="preserve">Windows version, RTOS, embedded OS</t>
  </si>
  <si>
    <t xml:space="preserve">Full OS version string</t>
  </si>
  <si>
    <t xml:space="preserve">x86, ARM, MIPS, proprietary</t>
  </si>
  <si>
    <t xml:space="preserve">Date device was installed</t>
  </si>
  <si>
    <t xml:space="preserve">Date of last maintenance or inspection</t>
  </si>
  <si>
    <t xml:space="preserve">Vendor published EOL date</t>
  </si>
  <si>
    <t xml:space="preserve">Active / Extended / End of Life / Unknown</t>
  </si>
  <si>
    <t xml:space="preserve">Warranty expiry date</t>
  </si>
  <si>
    <t xml:space="preserve">Critical / High / Medium / Low</t>
  </si>
  <si>
    <t xml:space="preserve">Current IP address (if applicable)</t>
  </si>
  <si>
    <t xml:space="preserve">MAC address</t>
  </si>
  <si>
    <t xml:space="preserve">Device hostname</t>
  </si>
  <si>
    <t xml:space="preserve">Segment name or VLAN ID</t>
  </si>
  <si>
    <t xml:space="preserve">Modbus, DNP3, PROFINET, EtherNet/IP, IEC 61850, etc.</t>
  </si>
  <si>
    <t xml:space="preserve">Additional protocols in use</t>
  </si>
  <si>
    <t xml:space="preserve">Yes / No — any remote access method enabled</t>
  </si>
  <si>
    <t xml:space="preserve">VPN, RDP, cellular modem, vendor portal, etc.</t>
  </si>
  <si>
    <t xml:space="preserve">List CVE IDs if known</t>
  </si>
  <si>
    <t xml:space="preserve">Critical / High / Medium / Low / None / Unknown</t>
  </si>
  <si>
    <t xml:space="preserve">Up to Date / Patches Available / Cannot Patch / Unknown</t>
  </si>
  <si>
    <t xml:space="preserve">Date of last patch or firmware update</t>
  </si>
  <si>
    <t xml:space="preserve">In Scope / Compliant / Non-Compliant / Exempt / Unknown</t>
  </si>
  <si>
    <t xml:space="preserve">OT engineer or team responsible</t>
  </si>
  <si>
    <t xml:space="preserve">IT counterpart if applicable</t>
  </si>
  <si>
    <t xml:space="preserve">Vendor or system integrator</t>
  </si>
  <si>
    <t xml:space="preserve">Contract or support agreement reference</t>
  </si>
  <si>
    <t xml:space="preserve">What physical process does this control?</t>
  </si>
  <si>
    <t xml:space="preserve">Yes / No — does this perform a safety function?</t>
  </si>
  <si>
    <t xml:space="preserve">SIL 1/2/3/4 if applicable</t>
  </si>
  <si>
    <t xml:space="preserve">What happens if this device fails / goes offline?</t>
  </si>
  <si>
    <t xml:space="preserve">Yes / No / Partial</t>
  </si>
  <si>
    <t xml:space="preserve">Other assets this device depends on (Asset IDs)</t>
  </si>
  <si>
    <t xml:space="preserve">Passive / Walkdown / Documentation / Vendor-provided</t>
  </si>
  <si>
    <t xml:space="preserve">Date first recorded</t>
  </si>
  <si>
    <t xml:space="preserve">Date record was last verified against physical asset</t>
  </si>
  <si>
    <t xml:space="preserve">Name of person who verified</t>
  </si>
  <si>
    <t xml:space="preserve">Free text notes</t>
  </si>
  <si>
    <t xml:space="preserve">Links to diagrams, datasheets, configs</t>
  </si>
  <si>
    <t xml:space="preserve">AST-001</t>
  </si>
  <si>
    <t xml:space="preserve">Boiler Feed PLC</t>
  </si>
  <si>
    <t xml:space="preserve">PLC</t>
  </si>
  <si>
    <t xml:space="preserve">1</t>
  </si>
  <si>
    <t xml:space="preserve">Site A</t>
  </si>
  <si>
    <t xml:space="preserve">Boiler House</t>
  </si>
  <si>
    <t xml:space="preserve">BH-Panel-03</t>
  </si>
  <si>
    <t xml:space="preserve">Siemens</t>
  </si>
  <si>
    <t xml:space="preserve">S7-300 CPU 315-2DP</t>
  </si>
  <si>
    <t xml:space="preserve">S7K-21983</t>
  </si>
  <si>
    <t xml:space="preserve">V3.3.17</t>
  </si>
  <si>
    <t xml:space="preserve">HW4</t>
  </si>
  <si>
    <t xml:space="preserve">Windows Embedded</t>
  </si>
  <si>
    <t xml:space="preserve">7 SP1</t>
  </si>
  <si>
    <t xml:space="preserve">x86</t>
  </si>
  <si>
    <t xml:space="preserve">2012-03-15</t>
  </si>
  <si>
    <t xml:space="preserve">2023-11-01</t>
  </si>
  <si>
    <t xml:space="preserve">2023-12-31</t>
  </si>
  <si>
    <t xml:space="preserve">End of Life</t>
  </si>
  <si>
    <t xml:space="preserve">Critical</t>
  </si>
  <si>
    <t xml:space="preserve">10.10.1.10</t>
  </si>
  <si>
    <t xml:space="preserve">00:1B:1B:AA:12:34</t>
  </si>
  <si>
    <t xml:space="preserve">BH-PLC-01</t>
  </si>
  <si>
    <t xml:space="preserve">OT-L1-VLAN10</t>
  </si>
  <si>
    <t xml:space="preserve">Modbus TCP</t>
  </si>
  <si>
    <t xml:space="preserve">PROFIBUS</t>
  </si>
  <si>
    <t xml:space="preserve">No</t>
  </si>
  <si>
    <t xml:space="preserve">CVE-2019-13945</t>
  </si>
  <si>
    <t xml:space="preserve">High</t>
  </si>
  <si>
    <t xml:space="preserve">Patches Available</t>
  </si>
  <si>
    <t xml:space="preserve">2021-06-01</t>
  </si>
  <si>
    <t xml:space="preserve">Non-Compliant</t>
  </si>
  <si>
    <t xml:space="preserve">J. Kowalski</t>
  </si>
  <si>
    <t xml:space="preserve">IT-OT Ops</t>
  </si>
  <si>
    <t xml:space="preserve">Siemens AG</t>
  </si>
  <si>
    <t xml:space="preserve">SI-2019-0034</t>
  </si>
  <si>
    <t xml:space="preserve">Controls boiler feed water pumps P-101/102</t>
  </si>
  <si>
    <t xml:space="preserve">Production halt — manual intervention required</t>
  </si>
  <si>
    <t xml:space="preserve">Yes</t>
  </si>
  <si>
    <t xml:space="preserve">AST-002,AST-003</t>
  </si>
  <si>
    <t xml:space="preserve">Passive+Walkdown</t>
  </si>
  <si>
    <t xml:space="preserve">2024-01-10</t>
  </si>
  <si>
    <t xml:space="preserve">A. Novak</t>
  </si>
  <si>
    <t xml:space="preserve">EOL — migration priority HIGH. No patches since 2021.</t>
  </si>
  <si>
    <t xml:space="preserve">P&amp;IDs: BH-001-Rev4</t>
  </si>
  <si>
    <t xml:space="preserve">AST-002</t>
  </si>
  <si>
    <t xml:space="preserve">Boiler HMI Station</t>
  </si>
  <si>
    <t xml:space="preserve">HMI</t>
  </si>
  <si>
    <t xml:space="preserve">2</t>
  </si>
  <si>
    <t xml:space="preserve">BH-Control-Room</t>
  </si>
  <si>
    <t xml:space="preserve">Rockwell</t>
  </si>
  <si>
    <t xml:space="preserve">PanelView Plus 7</t>
  </si>
  <si>
    <t xml:space="preserve">PVP-77401</t>
  </si>
  <si>
    <t xml:space="preserve">V10.011</t>
  </si>
  <si>
    <t xml:space="preserve">CE 6.0</t>
  </si>
  <si>
    <t xml:space="preserve">ARM</t>
  </si>
  <si>
    <t xml:space="preserve">2015-07-20</t>
  </si>
  <si>
    <t xml:space="preserve">2028-06-30</t>
  </si>
  <si>
    <t xml:space="preserve">Active</t>
  </si>
  <si>
    <t xml:space="preserve">10.10.2.20</t>
  </si>
  <si>
    <t xml:space="preserve">00:1B:44:BB:56:78</t>
  </si>
  <si>
    <t xml:space="preserve">BH-HMI-01</t>
  </si>
  <si>
    <t xml:space="preserve">OT-L2-VLAN20</t>
  </si>
  <si>
    <t xml:space="preserve">EtherNet/IP</t>
  </si>
  <si>
    <t xml:space="preserve">None</t>
  </si>
  <si>
    <t xml:space="preserve">Up to Date</t>
  </si>
  <si>
    <t xml:space="preserve">2023-09-15</t>
  </si>
  <si>
    <t xml:space="preserve">Compliant</t>
  </si>
  <si>
    <t xml:space="preserve">Rockwell Automation</t>
  </si>
  <si>
    <t xml:space="preserve">RA-SVC-2022-441</t>
  </si>
  <si>
    <t xml:space="preserve">Operator interface for boiler feed controls</t>
  </si>
  <si>
    <t xml:space="preserve">Operators revert to manual gauges</t>
  </si>
  <si>
    <t xml:space="preserve">Passive</t>
  </si>
  <si>
    <t xml:space="preserve">Firmware patched Q3 2023. Next review Q3 2024.</t>
  </si>
  <si>
    <t xml:space="preserve">RA FactoryTalk drawings</t>
  </si>
  <si>
    <t xml:space="preserve">AST-003</t>
  </si>
  <si>
    <t xml:space="preserve">Water Treatment RTU</t>
  </si>
  <si>
    <t xml:space="preserve">RTU</t>
  </si>
  <si>
    <t xml:space="preserve">Water Treatment</t>
  </si>
  <si>
    <t xml:space="preserve">WT-Junction-Box-7</t>
  </si>
  <si>
    <t xml:space="preserve">51.5074,-0.1278</t>
  </si>
  <si>
    <t xml:space="preserve">ABB</t>
  </si>
  <si>
    <t xml:space="preserve">RTU560</t>
  </si>
  <si>
    <t xml:space="preserve">560-2948-C</t>
  </si>
  <si>
    <t xml:space="preserve">R4.1</t>
  </si>
  <si>
    <t xml:space="preserve">Proprietary RTOS</t>
  </si>
  <si>
    <t xml:space="preserve">MIPS</t>
  </si>
  <si>
    <t xml:space="preserve">2008-09-01</t>
  </si>
  <si>
    <t xml:space="preserve">2022-04-12</t>
  </si>
  <si>
    <t xml:space="preserve">2026-12-31</t>
  </si>
  <si>
    <t xml:space="preserve">Extended</t>
  </si>
  <si>
    <t xml:space="preserve">192.168.50.5</t>
  </si>
  <si>
    <t xml:space="preserve">00:AB:CD:EF:11:22</t>
  </si>
  <si>
    <t xml:space="preserve">WT-RTU-07</t>
  </si>
  <si>
    <t xml:space="preserve">OT-L1-VLAN50</t>
  </si>
  <si>
    <t xml:space="preserve">DNP3</t>
  </si>
  <si>
    <t xml:space="preserve">IEC 60870-5-101</t>
  </si>
  <si>
    <t xml:space="preserve">CVE-2022-30313</t>
  </si>
  <si>
    <t xml:space="preserve">Medium</t>
  </si>
  <si>
    <t xml:space="preserve">Cannot Patch</t>
  </si>
  <si>
    <t xml:space="preserve">P. Oliynyk</t>
  </si>
  <si>
    <t xml:space="preserve">ABB Ltd</t>
  </si>
  <si>
    <t xml:space="preserve">ABB-MAINT-EXT-009</t>
  </si>
  <si>
    <t xml:space="preserve">Remote monitoring — water intake flow and pressure</t>
  </si>
  <si>
    <t xml:space="preserve">SCADA loses telemetry; operator dispatched to site</t>
  </si>
  <si>
    <t xml:space="preserve">Partial</t>
  </si>
  <si>
    <t xml:space="preserve">AST-010</t>
  </si>
  <si>
    <t xml:space="preserve">Passive+Documentation</t>
  </si>
  <si>
    <t xml:space="preserve">2024-01-11</t>
  </si>
  <si>
    <t xml:space="preserve">2024-01-12</t>
  </si>
  <si>
    <t xml:space="preserve">Cannot patch — vendor states no patch available for this FW branch. Compensating control: network isolation.</t>
  </si>
  <si>
    <t xml:space="preserve">DNP3 comms diagram WT-07</t>
  </si>
  <si>
    <t xml:space="preserve">AST-004</t>
  </si>
  <si>
    <t xml:space="preserve">SCADA Server Primary</t>
  </si>
  <si>
    <t xml:space="preserve">EWS/SCADA</t>
  </si>
  <si>
    <t xml:space="preserve">3</t>
  </si>
  <si>
    <t xml:space="preserve">Server Room</t>
  </si>
  <si>
    <t xml:space="preserve">SR-Rack-A2</t>
  </si>
  <si>
    <t xml:space="preserve">Dell</t>
  </si>
  <si>
    <t xml:space="preserve">PowerEdge R750</t>
  </si>
  <si>
    <t xml:space="preserve">DLPOW-2021-0049</t>
  </si>
  <si>
    <t xml:space="preserve">Windows Server</t>
  </si>
  <si>
    <t xml:space="preserve">2019 v1809</t>
  </si>
  <si>
    <t xml:space="preserve">x86-64</t>
  </si>
  <si>
    <t xml:space="preserve">2021-01-15</t>
  </si>
  <si>
    <t xml:space="preserve">2024-01-05</t>
  </si>
  <si>
    <t xml:space="preserve">2031-01-15</t>
  </si>
  <si>
    <t xml:space="preserve">2027-01-15</t>
  </si>
  <si>
    <t xml:space="preserve">10.10.3.100</t>
  </si>
  <si>
    <t xml:space="preserve">00:DE:AD:BE:EF:01</t>
  </si>
  <si>
    <t xml:space="preserve">SCADA-SRV-01</t>
  </si>
  <si>
    <t xml:space="preserve">OT-L3-VLAN30</t>
  </si>
  <si>
    <t xml:space="preserve">OPC-UA</t>
  </si>
  <si>
    <t xml:space="preserve">VPN (site-to-site)</t>
  </si>
  <si>
    <t xml:space="preserve">Control Systems Team</t>
  </si>
  <si>
    <t xml:space="preserve">IT Infrastructure</t>
  </si>
  <si>
    <t xml:space="preserve">Inductive Automation</t>
  </si>
  <si>
    <t xml:space="preserve">IA-ENT-2021-001</t>
  </si>
  <si>
    <t xml:space="preserve">Ignition SCADA — site-wide supervisory control</t>
  </si>
  <si>
    <t xml:space="preserve">Full SCADA loss — operators on manual</t>
  </si>
  <si>
    <t xml:space="preserve">AST-001,AST-002,AST-003</t>
  </si>
  <si>
    <t xml:space="preserve">Documentation</t>
  </si>
  <si>
    <t xml:space="preserve">2024-01-08</t>
  </si>
  <si>
    <t xml:space="preserve">Ignition v8.1.28. Monthly patching cycle in place. Backup server AST-005.</t>
  </si>
  <si>
    <t xml:space="preserve">Server room diagram SR-2021</t>
  </si>
  <si>
    <t xml:space="preserve">AST-005</t>
  </si>
  <si>
    <t xml:space="preserve">SCADA Historian</t>
  </si>
  <si>
    <t xml:space="preserve">Historian</t>
  </si>
  <si>
    <t xml:space="preserve">SR-Rack-A3</t>
  </si>
  <si>
    <t xml:space="preserve">OSIsoft</t>
  </si>
  <si>
    <t xml:space="preserve">PI Server</t>
  </si>
  <si>
    <t xml:space="preserve">PI-OSI-2019-0021</t>
  </si>
  <si>
    <t xml:space="preserve">2019 SP3</t>
  </si>
  <si>
    <t xml:space="preserve">2016</t>
  </si>
  <si>
    <t xml:space="preserve">2019-06-01</t>
  </si>
  <si>
    <t xml:space="preserve">2023-06-01</t>
  </si>
  <si>
    <t xml:space="preserve">2029-06-01</t>
  </si>
  <si>
    <t xml:space="preserve">2025-06-01</t>
  </si>
  <si>
    <t xml:space="preserve">10.10.3.101</t>
  </si>
  <si>
    <t xml:space="preserve">00:DE:AD:BE:EF:02</t>
  </si>
  <si>
    <t xml:space="preserve">PI-SRV-01</t>
  </si>
  <si>
    <t xml:space="preserve">OPC-DA</t>
  </si>
  <si>
    <t xml:space="preserve">SQL</t>
  </si>
  <si>
    <t xml:space="preserve">CVE-2021-33885</t>
  </si>
  <si>
    <t xml:space="preserve">2022-11-01</t>
  </si>
  <si>
    <t xml:space="preserve">AVEVA (OSIsoft)</t>
  </si>
  <si>
    <t xml:space="preserve">PI-SUP-2019-ENT</t>
  </si>
  <si>
    <t xml:space="preserve">Process data historian — 5-year retention</t>
  </si>
  <si>
    <t xml:space="preserve">Historical data unavailable; compliance reporting impacted</t>
  </si>
  <si>
    <t xml:space="preserve">Pending PI upgrade to AVEVA PI 2023. CVE patch deferred to upgrade window.</t>
  </si>
  <si>
    <t xml:space="preserve">PI architecture doc</t>
  </si>
  <si>
    <t xml:space="preserve">AST-006</t>
  </si>
  <si>
    <t xml:space="preserve">Safety PLC — Burner</t>
  </si>
  <si>
    <t xml:space="preserve">Safety PLC</t>
  </si>
  <si>
    <t xml:space="preserve">BH-Safety-Cabinet-1</t>
  </si>
  <si>
    <t xml:space="preserve">Hima</t>
  </si>
  <si>
    <t xml:space="preserve">HIMax</t>
  </si>
  <si>
    <t xml:space="preserve">HX-2017-0033</t>
  </si>
  <si>
    <t xml:space="preserve">V7.0.1</t>
  </si>
  <si>
    <t xml:space="preserve">Proprietary SIL OS</t>
  </si>
  <si>
    <t xml:space="preserve">Proprietary</t>
  </si>
  <si>
    <t xml:space="preserve">2017-03-01</t>
  </si>
  <si>
    <t xml:space="preserve">2030-03-01</t>
  </si>
  <si>
    <t xml:space="preserve">2028-03-01</t>
  </si>
  <si>
    <t xml:space="preserve">10.10.1.50</t>
  </si>
  <si>
    <t xml:space="preserve">00:HI:MA:XS:AF:01</t>
  </si>
  <si>
    <t xml:space="preserve">BH-SIS-01</t>
  </si>
  <si>
    <t xml:space="preserve">OT-SIS-VLAN5</t>
  </si>
  <si>
    <t xml:space="preserve">PROFINET</t>
  </si>
  <si>
    <t xml:space="preserve">Safety Systems Engineer</t>
  </si>
  <si>
    <t xml:space="preserve">Hima Paul Hildebrandt</t>
  </si>
  <si>
    <t xml:space="preserve">HIMA-SVC-2017-B01</t>
  </si>
  <si>
    <t xml:space="preserve">Burner management system — emergency shutdown</t>
  </si>
  <si>
    <t xml:space="preserve">SIL 2</t>
  </si>
  <si>
    <t xml:space="preserve">ESD triggers automatically; production shutdown</t>
  </si>
  <si>
    <t xml:space="preserve">Yes (hardwired)</t>
  </si>
  <si>
    <t xml:space="preserve">Walkdown+Documentation</t>
  </si>
  <si>
    <t xml:space="preserve">SIL 2 certified. Change management: MOC required for any modification. Last SIL validation: Nov 2023.</t>
  </si>
  <si>
    <t xml:space="preserve">SIS SIL certificate 2023</t>
  </si>
  <si>
    <t xml:space="preserve">AST-007</t>
  </si>
  <si>
    <t xml:space="preserve">OT Core Switch</t>
  </si>
  <si>
    <t xml:space="preserve">Switch</t>
  </si>
  <si>
    <t xml:space="preserve">Cisco</t>
  </si>
  <si>
    <t xml:space="preserve">IE-3400</t>
  </si>
  <si>
    <t xml:space="preserve">FOX2201ABCD</t>
  </si>
  <si>
    <t xml:space="preserve">17.9.3</t>
  </si>
  <si>
    <t xml:space="preserve">IOS-XE</t>
  </si>
  <si>
    <t xml:space="preserve">2020-05-01</t>
  </si>
  <si>
    <t xml:space="preserve">2023-05-01</t>
  </si>
  <si>
    <t xml:space="preserve">2030-05-01</t>
  </si>
  <si>
    <t xml:space="preserve">10.10.1.1</t>
  </si>
  <si>
    <t xml:space="preserve">00:CO:CI:SW:01:AA</t>
  </si>
  <si>
    <t xml:space="preserve">BH-SW-01</t>
  </si>
  <si>
    <t xml:space="preserve">Ethernet</t>
  </si>
  <si>
    <t xml:space="preserve">CVE-2023-20198</t>
  </si>
  <si>
    <t xml:space="preserve">2023-02-01</t>
  </si>
  <si>
    <t xml:space="preserve">CSCO-SMART-2020-001</t>
  </si>
  <si>
    <t xml:space="preserve">Core switching — boiler house OT network</t>
  </si>
  <si>
    <t xml:space="preserve">Full network outage — boiler house</t>
  </si>
  <si>
    <t xml:space="preserve">CRITICAL CVE unpatched — maintenance window scheduled Q1 2024. Compensating control: access-lists in place.</t>
  </si>
  <si>
    <t xml:space="preserve">Network diagram v2.3</t>
  </si>
  <si>
    <t xml:space="preserve">AST-008</t>
  </si>
  <si>
    <t xml:space="preserve">Undocumented Cellular Modem</t>
  </si>
  <si>
    <t xml:space="preserve">Remote Access Device</t>
  </si>
  <si>
    <t xml:space="preserve">SR-Rack-B4</t>
  </si>
  <si>
    <t xml:space="preserve">Sierra Wireless</t>
  </si>
  <si>
    <t xml:space="preserve">RV55</t>
  </si>
  <si>
    <t xml:space="preserve">SWI-2019-9981</t>
  </si>
  <si>
    <t xml:space="preserve">4.14.0</t>
  </si>
  <si>
    <t xml:space="preserve">Embedded Linux</t>
  </si>
  <si>
    <t xml:space="preserve">2019-11-01</t>
  </si>
  <si>
    <t xml:space="preserve">Unknown</t>
  </si>
  <si>
    <t xml:space="preserve">192.168.99.254</t>
  </si>
  <si>
    <t xml:space="preserve">00:SW:CE:LL:MO:01</t>
  </si>
  <si>
    <t xml:space="preserve">OT-DMZ</t>
  </si>
  <si>
    <t xml:space="preserve">TCP/IP</t>
  </si>
  <si>
    <t xml:space="preserve">4G Cellular (undocumented)</t>
  </si>
  <si>
    <t xml:space="preserve">Unknown — discovered during walkdown</t>
  </si>
  <si>
    <t xml:space="preserve">Unknown — not in P&amp;IDs</t>
  </si>
  <si>
    <t xml:space="preserve">Walkdown</t>
  </si>
  <si>
    <t xml:space="preserve">⚠ UNDOCUMENTED DEVICE. Found plugged into rack during physical walkdown. Not in any diagram. Vendor installed 2019 for remote support — never removed. ISOLATE PENDING INVESTIGATION.</t>
  </si>
  <si>
    <t xml:space="preserve">Photo: modem-rack-B4.jpg</t>
  </si>
  <si>
    <t xml:space="preserve">AST-009</t>
  </si>
  <si>
    <t xml:space="preserve">Flow Transmitter FT-201</t>
  </si>
  <si>
    <t xml:space="preserve">Sensor/Field Device</t>
  </si>
  <si>
    <t xml:space="preserve">0</t>
  </si>
  <si>
    <t xml:space="preserve">WT-Line-2</t>
  </si>
  <si>
    <t xml:space="preserve">Endress+Hauser</t>
  </si>
  <si>
    <t xml:space="preserve">Proline Promag 55</t>
  </si>
  <si>
    <t xml:space="preserve">EH-FT-201-2016</t>
  </si>
  <si>
    <t xml:space="preserve">2016-04-01</t>
  </si>
  <si>
    <t xml:space="preserve">2022-09-01</t>
  </si>
  <si>
    <t xml:space="preserve">OT-L0-Serial</t>
  </si>
  <si>
    <t xml:space="preserve">HART</t>
  </si>
  <si>
    <t xml:space="preserve">4-20mA</t>
  </si>
  <si>
    <t xml:space="preserve">Process Team</t>
  </si>
  <si>
    <t xml:space="preserve">EH-SVC-2016-021</t>
  </si>
  <si>
    <t xml:space="preserve">Water flow measurement — feed line 2</t>
  </si>
  <si>
    <t xml:space="preserve">Flow data lost; manual sampling required</t>
  </si>
  <si>
    <t xml:space="preserve">No IP connectivity — HART only. Calibration due 2024-09.</t>
  </si>
  <si>
    <t xml:space="preserve">Calibration cert EH-FT201-2023</t>
  </si>
  <si>
    <t xml:space="preserve">Engineering Workstation</t>
  </si>
  <si>
    <t xml:space="preserve">EWS</t>
  </si>
  <si>
    <t xml:space="preserve">Engineering Office</t>
  </si>
  <si>
    <t xml:space="preserve">EO-Desk-12</t>
  </si>
  <si>
    <t xml:space="preserve">HP</t>
  </si>
  <si>
    <t xml:space="preserve">EliteDesk 800 G4</t>
  </si>
  <si>
    <t xml:space="preserve">HP-2018-EWS-04</t>
  </si>
  <si>
    <t xml:space="preserve">Windows</t>
  </si>
  <si>
    <t xml:space="preserve">10 LTSC 2019</t>
  </si>
  <si>
    <t xml:space="preserve">2018-08-01</t>
  </si>
  <si>
    <t xml:space="preserve">2023-08-01</t>
  </si>
  <si>
    <t xml:space="preserve">2029-10-14</t>
  </si>
  <si>
    <t xml:space="preserve">2024-08-01</t>
  </si>
  <si>
    <t xml:space="preserve">10.10.2.50</t>
  </si>
  <si>
    <t xml:space="preserve">00:HP:EW:ST:AT:01</t>
  </si>
  <si>
    <t xml:space="preserve">ENG-WS-04</t>
  </si>
  <si>
    <t xml:space="preserve">USB</t>
  </si>
  <si>
    <t xml:space="preserve">Low</t>
  </si>
  <si>
    <t xml:space="preserve">2023-12-01</t>
  </si>
  <si>
    <t xml:space="preserve">HP / Rockwell</t>
  </si>
  <si>
    <t xml:space="preserve">PLC programming and configuration workstation</t>
  </si>
  <si>
    <t xml:space="preserve">Engineering changes require physical access</t>
  </si>
  <si>
    <t xml:space="preserve">AST-001,AST-002</t>
  </si>
  <si>
    <t xml:space="preserve">USB ports active — policy review required. AV up to date. Connected to OT-L2 only; no IT network access.</t>
  </si>
  <si>
    <t xml:space="preserve">Asset sticker photo: EWS-04.jpg</t>
  </si>
  <si>
    <t xml:space="preserve">NETWORK TOPOLOGY LOG</t>
  </si>
  <si>
    <t xml:space="preserve">Segment ID</t>
  </si>
  <si>
    <t xml:space="preserve">Segment Name</t>
  </si>
  <si>
    <t xml:space="preserve">VLAN ID</t>
  </si>
  <si>
    <t xml:space="preserve">IP Subnet</t>
  </si>
  <si>
    <t xml:space="preserve">Zone Type</t>
  </si>
  <si>
    <t xml:space="preserve">Connected To (Segment ID)</t>
  </si>
  <si>
    <t xml:space="preserve">Connection Type</t>
  </si>
  <si>
    <t xml:space="preserve">Firewall / ACL Between</t>
  </si>
  <si>
    <t xml:space="preserve">Protocol(s) in Use</t>
  </si>
  <si>
    <t xml:space="preserve">Remote Access Enabled</t>
  </si>
  <si>
    <t xml:space="preserve">Asset Count</t>
  </si>
  <si>
    <t xml:space="preserve">SEG-01</t>
  </si>
  <si>
    <t xml:space="preserve">OT-Field-L0</t>
  </si>
  <si>
    <t xml:space="preserve">N/A</t>
  </si>
  <si>
    <t xml:space="preserve">Serial/4-20mA</t>
  </si>
  <si>
    <t xml:space="preserve">Field Zone</t>
  </si>
  <si>
    <t xml:space="preserve">SEG-02</t>
  </si>
  <si>
    <t xml:space="preserve">Serial / Analog</t>
  </si>
  <si>
    <t xml:space="preserve">None — hardwired</t>
  </si>
  <si>
    <t xml:space="preserve">HART, Modbus RTU</t>
  </si>
  <si>
    <t xml:space="preserve">12</t>
  </si>
  <si>
    <t xml:space="preserve">Level 0 field instruments. No IP connectivity.</t>
  </si>
  <si>
    <t xml:space="preserve">OT-Controller-L1</t>
  </si>
  <si>
    <t xml:space="preserve">10</t>
  </si>
  <si>
    <t xml:space="preserve">10.10.1.0/24</t>
  </si>
  <si>
    <t xml:space="preserve">Controller Zone</t>
  </si>
  <si>
    <t xml:space="preserve">SEG-03</t>
  </si>
  <si>
    <t xml:space="preserve">Purdue Model boundary</t>
  </si>
  <si>
    <t xml:space="preserve">Modbus TCP, PROFINET</t>
  </si>
  <si>
    <t xml:space="preserve">8</t>
  </si>
  <si>
    <t xml:space="preserve">PLCs, RTUs, safety systems.</t>
  </si>
  <si>
    <t xml:space="preserve">OT-Supervisory-L2</t>
  </si>
  <si>
    <t xml:space="preserve">20</t>
  </si>
  <si>
    <t xml:space="preserve">10.10.2.0/24</t>
  </si>
  <si>
    <t xml:space="preserve">Supervisory Zone</t>
  </si>
  <si>
    <t xml:space="preserve">SEG-04</t>
  </si>
  <si>
    <t xml:space="preserve">Managed switch ACL</t>
  </si>
  <si>
    <t xml:space="preserve">EtherNet/IP, OPC-DA</t>
  </si>
  <si>
    <t xml:space="preserve">5</t>
  </si>
  <si>
    <t xml:space="preserve">HMIs, Engineering Workstations.</t>
  </si>
  <si>
    <t xml:space="preserve">OT-Site-Ops-L3</t>
  </si>
  <si>
    <t xml:space="preserve">30</t>
  </si>
  <si>
    <t xml:space="preserve">10.10.3.0/24</t>
  </si>
  <si>
    <t xml:space="preserve">Site Operations Zone</t>
  </si>
  <si>
    <t xml:space="preserve">SEG-05</t>
  </si>
  <si>
    <t xml:space="preserve">Industrial Firewall</t>
  </si>
  <si>
    <t xml:space="preserve">OPC-UA, SQL</t>
  </si>
  <si>
    <t xml:space="preserve">Yes (VPN)</t>
  </si>
  <si>
    <t xml:space="preserve">4</t>
  </si>
  <si>
    <t xml:space="preserve">SCADA servers, historians. VPN for site-to-site only.</t>
  </si>
  <si>
    <t xml:space="preserve">OT-SIS</t>
  </si>
  <si>
    <t xml:space="preserve">10.10.5.0/28</t>
  </si>
  <si>
    <t xml:space="preserve">Safety Instrumented Zone</t>
  </si>
  <si>
    <t xml:space="preserve">Air gap / one-way datadiode</t>
  </si>
  <si>
    <t xml:space="preserve">Safety PLC systems. Physically segregated.</t>
  </si>
  <si>
    <t xml:space="preserve">SEG-06</t>
  </si>
  <si>
    <t xml:space="preserve">99</t>
  </si>
  <si>
    <t xml:space="preserve">192.168.99.0/30</t>
  </si>
  <si>
    <t xml:space="preserve">DMZ</t>
  </si>
  <si>
    <t xml:space="preserve">SEG-04,IT-CORP</t>
  </si>
  <si>
    <t xml:space="preserve">DMZ firewall both sides</t>
  </si>
  <si>
    <t xml:space="preserve">⚠ Undocumented modem AST-008 found here. Investigate.</t>
  </si>
  <si>
    <t xml:space="preserve">VULNERABILITY FLAGS — AUTO-POPULATED</t>
  </si>
  <si>
    <t xml:space="preserve">Asset Name</t>
  </si>
  <si>
    <t xml:space="preserve">ISA-95 Lvl</t>
  </si>
  <si>
    <t xml:space="preserve">Criticality</t>
  </si>
  <si>
    <t xml:space="preserve">EOL Flag</t>
  </si>
  <si>
    <t xml:space="preserve">CVE Flag</t>
  </si>
  <si>
    <t xml:space="preserve">Patch Flag</t>
  </si>
  <si>
    <t xml:space="preserve">Remote Access Flag</t>
  </si>
  <si>
    <t xml:space="preserve">Undocumented Flag</t>
  </si>
  <si>
    <t xml:space="preserve">Risk Score (auto)</t>
  </si>
  <si>
    <t xml:space="preserve">Priority</t>
  </si>
  <si>
    <t xml:space="preserve">Action Required</t>
  </si>
  <si>
    <t xml:space="preserve">ℹ  Rows below pull from 🖥 Asset Register. Flags are set: 🔴 = issue found, ✅ = OK, ❓ = unknown. Risk Score 1-10 auto-calculated.</t>
  </si>
  <si>
    <t xml:space="preserve">ICS ASSET INVENTORY — EXECUTIVE DASHBOARD</t>
  </si>
  <si>
    <t xml:space="preserve">TOTAL ASSETS</t>
  </si>
  <si>
    <t xml:space="preserve">CRITICAL ASSETS</t>
  </si>
  <si>
    <t xml:space="preserve">EOL DEVICES</t>
  </si>
  <si>
    <t xml:space="preserve">Unique asset records</t>
  </si>
  <si>
    <t xml:space="preserve">Criticality = Critical</t>
  </si>
  <si>
    <t xml:space="preserve">Vendor support = End of Life</t>
  </si>
  <si>
    <t xml:space="preserve">UNPATCHED</t>
  </si>
  <si>
    <t xml:space="preserve">REMOTE ACCESS</t>
  </si>
  <si>
    <t xml:space="preserve">HIGH/CRIT CVEs</t>
  </si>
  <si>
    <t xml:space="preserve">Patches available but not applied</t>
  </si>
  <si>
    <t xml:space="preserve">Devices with remote access enabled</t>
  </si>
  <si>
    <t xml:space="preserve">Assets with High or Critical CVEs</t>
  </si>
  <si>
    <t xml:space="preserve">ASSET BREAKDOWN BY TYPE</t>
  </si>
  <si>
    <t xml:space="preserve">SCADA Server</t>
  </si>
  <si>
    <t xml:space="preserve">Other</t>
  </si>
  <si>
    <t xml:space="preserve">CRITICALITY BREAKDOWN</t>
  </si>
  <si>
    <t xml:space="preserve">REFERENCE DATA — Drop-down lists and lookup tables. Do not delete or rename this sheet.</t>
  </si>
  <si>
    <t xml:space="preserve">  ISA-95 PURDUE MODEL LEVELS</t>
  </si>
  <si>
    <t xml:space="preserve">Level 0</t>
  </si>
  <si>
    <t xml:space="preserve">Field / Sensor Layer</t>
  </si>
  <si>
    <t xml:space="preserve">Sensors, actuators, transmitters, field instruments — physical process</t>
  </si>
  <si>
    <t xml:space="preserve">Level 1</t>
  </si>
  <si>
    <t xml:space="preserve">Controller Layer</t>
  </si>
  <si>
    <t xml:space="preserve">PLCs, RTUs, Safety PLCs — direct process control</t>
  </si>
  <si>
    <t xml:space="preserve">Level 2</t>
  </si>
  <si>
    <t xml:space="preserve">Supervisory Layer</t>
  </si>
  <si>
    <t xml:space="preserve">HMIs, Engineering Workstations — supervisory control</t>
  </si>
  <si>
    <t xml:space="preserve">Level 3</t>
  </si>
  <si>
    <t xml:space="preserve">Site Operations Layer</t>
  </si>
  <si>
    <t xml:space="preserve">SCADA, MES, Historians — site-wide coordination</t>
  </si>
  <si>
    <t xml:space="preserve">Level 4</t>
  </si>
  <si>
    <t xml:space="preserve">Enterprise / IT Layer</t>
  </si>
  <si>
    <t xml:space="preserve">ERP, business systems — above OT boundary</t>
  </si>
  <si>
    <t xml:space="preserve">  COMMON OT PROTOCOLS</t>
  </si>
  <si>
    <t xml:space="preserve">Modbus RTU/TCP</t>
  </si>
  <si>
    <t xml:space="preserve">Schneider, many vendors</t>
  </si>
  <si>
    <t xml:space="preserve">Simple, ubiquitous — no auth or encryption</t>
  </si>
  <si>
    <t xml:space="preserve">PROFIBUS/PROFINET</t>
  </si>
  <si>
    <t xml:space="preserve">German standard — industrial automation</t>
  </si>
  <si>
    <t xml:space="preserve">CIP over standard Ethernet</t>
  </si>
  <si>
    <t xml:space="preserve">Distributed Network Protocol</t>
  </si>
  <si>
    <t xml:space="preserve">SCADA/utilities — supports authentication</t>
  </si>
  <si>
    <t xml:space="preserve">IEC 60870-5</t>
  </si>
  <si>
    <t xml:space="preserve">IEC Standard</t>
  </si>
  <si>
    <t xml:space="preserve">Power systems SCADA</t>
  </si>
  <si>
    <t xml:space="preserve">IEC 61850</t>
  </si>
  <si>
    <t xml:space="preserve">Substation automation — modern</t>
  </si>
  <si>
    <t xml:space="preserve">OPC-DA / OPC-UA</t>
  </si>
  <si>
    <t xml:space="preserve">OPC Foundation</t>
  </si>
  <si>
    <t xml:space="preserve">Interoperability standard; UA = modern, encrypted</t>
  </si>
  <si>
    <t xml:space="preserve">FieldComm Group</t>
  </si>
  <si>
    <t xml:space="preserve">Field device comms over 4-20mA loops</t>
  </si>
  <si>
    <t xml:space="preserve">BACnet</t>
  </si>
  <si>
    <t xml:space="preserve">ASHRAE</t>
  </si>
  <si>
    <t xml:space="preserve">Building automation and HVAC</t>
  </si>
  <si>
    <t xml:space="preserve">Modbus Plus</t>
  </si>
  <si>
    <t xml:space="preserve">Schneider</t>
  </si>
  <si>
    <t xml:space="preserve">Proprietary extension of Modbus</t>
  </si>
  <si>
    <t xml:space="preserve">  CRITICALITY SCORING GUIDE</t>
  </si>
  <si>
    <t xml:space="preserve">Direct safety function OR production-critical with no manual backup OR SIL-rated</t>
  </si>
  <si>
    <t xml:space="preserve">Major production impact if offline; manual backup exists but limited</t>
  </si>
  <si>
    <t xml:space="preserve">Significant operational impact; manual workaround available</t>
  </si>
  <si>
    <t xml:space="preserve">Minor impact; easily substituted or redundant</t>
  </si>
  <si>
    <t xml:space="preserve">  RISK SCORE FORMULA (Vuln Flags sheet)</t>
  </si>
  <si>
    <t xml:space="preserve">Component</t>
  </si>
  <si>
    <t xml:space="preserve">Points</t>
  </si>
  <si>
    <t xml:space="preserve">+4</t>
  </si>
  <si>
    <t xml:space="preserve">Criticality = High</t>
  </si>
  <si>
    <t xml:space="preserve">+3</t>
  </si>
  <si>
    <t xml:space="preserve">Criticality = Medium</t>
  </si>
  <si>
    <t xml:space="preserve">+2</t>
  </si>
  <si>
    <t xml:space="preserve">Criticality = Low</t>
  </si>
  <si>
    <t xml:space="preserve">+1</t>
  </si>
  <si>
    <t xml:space="preserve">Vendor Support = End of Life</t>
  </si>
  <si>
    <t xml:space="preserve">Vendor Support = Extended</t>
  </si>
  <si>
    <t xml:space="preserve">CVE Severity = Critical or High</t>
  </si>
  <si>
    <t xml:space="preserve">CVE Severity = Medium</t>
  </si>
  <si>
    <t xml:space="preserve">Patch Status = Cannot Patch</t>
  </si>
  <si>
    <t xml:space="preserve">Patch Status = Patches Available</t>
  </si>
  <si>
    <t xml:space="preserve">Remote Access = Yes</t>
  </si>
  <si>
    <t xml:space="preserve">MAX SCORE</t>
  </si>
  <si>
    <t xml:space="preserve">10 (capped)</t>
  </si>
  <si>
    <t xml:space="preserve">Score ≥8 = P1 Critical; ≥6 = P2 High; ≥4 = P3 Medium; &lt;4 = P4 Low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</si>
</sst>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843C0C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22"/>
      <color rgb="FFC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22"/>
      <color rgb="FFED7D3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4"/>
      <color rgb="FFED7D31"/>
      <name val="Arial"/>
      <family val="0"/>
      <charset val="1"/>
    </font>
    <font>
      <b val="true"/>
      <sz val="14"/>
      <color rgb="FFFFD966"/>
      <name val="Arial"/>
      <family val="0"/>
      <charset val="1"/>
    </font>
    <font>
      <b val="true"/>
      <sz val="14"/>
      <color rgb="FF70AD47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E8A020"/>
        <bgColor rgb="FFED7D31"/>
      </patternFill>
    </fill>
    <fill>
      <patternFill patternType="solid">
        <fgColor rgb="FF2E75B6"/>
        <bgColor rgb="FF1F5C8B"/>
      </patternFill>
    </fill>
    <fill>
      <patternFill patternType="solid">
        <fgColor rgb="FFF2F7FB"/>
        <bgColor rgb="FFF8FAFD"/>
      </patternFill>
    </fill>
    <fill>
      <patternFill patternType="solid">
        <fgColor rgb="FFFFFFFF"/>
        <bgColor rgb="FFF8FAFD"/>
      </patternFill>
    </fill>
    <fill>
      <patternFill patternType="solid">
        <fgColor rgb="FFFFF2CC"/>
        <bgColor rgb="FFFCE4D6"/>
      </patternFill>
    </fill>
    <fill>
      <patternFill patternType="solid">
        <fgColor rgb="FF1F5C8B"/>
        <bgColor rgb="FF2E75B6"/>
      </patternFill>
    </fill>
    <fill>
      <patternFill patternType="solid">
        <fgColor rgb="FF375623"/>
        <bgColor rgb="FF3A4E2B"/>
      </patternFill>
    </fill>
    <fill>
      <patternFill patternType="solid">
        <fgColor rgb="FF843C0C"/>
        <bgColor rgb="FF993366"/>
      </patternFill>
    </fill>
    <fill>
      <patternFill patternType="solid">
        <fgColor rgb="FF4B2882"/>
        <bgColor rgb="FF1F3864"/>
      </patternFill>
    </fill>
    <fill>
      <patternFill patternType="solid">
        <fgColor rgb="FF3A4E2B"/>
        <bgColor rgb="FF375623"/>
      </patternFill>
    </fill>
    <fill>
      <patternFill patternType="solid">
        <fgColor rgb="FF404040"/>
        <bgColor rgb="FF3A4E2B"/>
      </patternFill>
    </fill>
    <fill>
      <patternFill patternType="solid">
        <fgColor rgb="FFD6E4F0"/>
        <bgColor rgb="FFD6EAF8"/>
      </patternFill>
    </fill>
    <fill>
      <patternFill patternType="solid">
        <fgColor rgb="FFDDEEFF"/>
        <bgColor rgb="FFD6EAF8"/>
      </patternFill>
    </fill>
    <fill>
      <patternFill patternType="solid">
        <fgColor rgb="FFD6EAF8"/>
        <bgColor rgb="FFD6E4F0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AD7F7"/>
        <bgColor rgb="FFD6E4F0"/>
      </patternFill>
    </fill>
    <fill>
      <patternFill patternType="solid">
        <fgColor rgb="FFEDEDED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F8FAFD"/>
        <bgColor rgb="FFF2F7FB"/>
      </patternFill>
    </fill>
    <fill>
      <patternFill patternType="solid">
        <fgColor rgb="FFF2F2F2"/>
        <bgColor rgb="FFF2F7FB"/>
      </patternFill>
    </fill>
    <fill>
      <patternFill patternType="solid">
        <fgColor rgb="FFED7D31"/>
        <bgColor rgb="FFE8A020"/>
      </patternFill>
    </fill>
    <fill>
      <patternFill patternType="solid">
        <fgColor rgb="FFFFD966"/>
        <bgColor rgb="FFFCE4D6"/>
      </patternFill>
    </fill>
    <fill>
      <patternFill patternType="solid">
        <fgColor rgb="FF70AD47"/>
        <bgColor rgb="FF339966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  <border diagonalUp="false" diagonalDown="false">
      <left style="thin">
        <color rgb="FFDDEEFF"/>
      </left>
      <right style="thin">
        <color rgb="FFDDEEFF"/>
      </right>
      <top style="thin">
        <color rgb="FFDDEEFF"/>
      </top>
      <bottom style="thin">
        <color rgb="FFDDEEFF"/>
      </bottom>
      <diagonal/>
    </border>
    <border diagonalUp="false" diagonalDown="false">
      <left style="thin">
        <color rgb="FFD6EAF8"/>
      </left>
      <right style="thin">
        <color rgb="FFD6EAF8"/>
      </right>
      <top style="thin">
        <color rgb="FFD6EAF8"/>
      </top>
      <bottom style="thin">
        <color rgb="FFD6EAF8"/>
      </bottom>
      <diagonal/>
    </border>
    <border diagonalUp="false" diagonalDown="false">
      <left style="thin">
        <color rgb="FFE2EFDA"/>
      </left>
      <right style="thin">
        <color rgb="FFE2EFDA"/>
      </right>
      <top style="thin">
        <color rgb="FFE2EFDA"/>
      </top>
      <bottom style="thin">
        <color rgb="FFE2EFDA"/>
      </bottom>
      <diagonal/>
    </border>
    <border diagonalUp="false" diagonalDown="false">
      <left style="thin">
        <color rgb="FFFCE4D6"/>
      </left>
      <right style="thin">
        <color rgb="FFFCE4D6"/>
      </right>
      <top style="thin">
        <color rgb="FFFCE4D6"/>
      </top>
      <bottom style="thin">
        <color rgb="FFFCE4D6"/>
      </bottom>
      <diagonal/>
    </border>
    <border diagonalUp="false" diagonalDown="false">
      <left style="thin">
        <color rgb="FFEAD7F7"/>
      </left>
      <right style="thin">
        <color rgb="FFEAD7F7"/>
      </right>
      <top style="thin">
        <color rgb="FFEAD7F7"/>
      </top>
      <bottom style="thin">
        <color rgb="FFEAD7F7"/>
      </bottom>
      <diagonal/>
    </border>
    <border diagonalUp="false" diagonalDown="false"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 diagonalUp="false" diagonalDown="false">
      <left style="hair">
        <color rgb="FFD0D0D0"/>
      </left>
      <right style="hair">
        <color rgb="FFD0D0D0"/>
      </right>
      <top style="hair">
        <color rgb="FFD0D0D0"/>
      </top>
      <bottom style="hair">
        <color rgb="FFD0D0D0"/>
      </bottom>
      <diagonal/>
    </border>
    <border diagonalUp="false" diagonalDown="false"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 diagonalUp="false" diagonalDown="false"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6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7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8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9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7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8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9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7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8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8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2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2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FFFFFF"/>
        <sz val="9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ED7D31"/>
        </patternFill>
      </fill>
    </dxf>
    <dxf>
      <font>
        <name val="Arial"/>
        <charset val="1"/>
        <family val="0"/>
        <color rgb="FF000000"/>
        <sz val="9"/>
      </font>
      <fill>
        <patternFill>
          <bgColor rgb="FFFFD966"/>
        </patternFill>
      </fill>
    </dxf>
    <dxf>
      <font>
        <name val="Arial"/>
        <charset val="1"/>
        <family val="0"/>
        <color rgb="FFFFFFFF"/>
        <sz val="9"/>
      </font>
      <fill>
        <patternFill>
          <bgColor rgb="FF70AD47"/>
        </patternFill>
      </fill>
    </dxf>
    <dxf>
      <font>
        <name val="Arial"/>
        <charset val="1"/>
        <family val="0"/>
        <color rgb="FFFFFFFF"/>
        <sz val="9"/>
      </font>
      <fill>
        <patternFill>
          <bgColor rgb="FFED7D31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7B0000"/>
        </patternFill>
      </fill>
    </dxf>
    <dxf>
      <font>
        <name val="Arial"/>
        <charset val="1"/>
        <family val="0"/>
        <b val="1"/>
        <color rgb="FFC00000"/>
        <sz val="9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C0C0C0"/>
      <rgbColor rgb="FF808080"/>
      <rgbColor rgb="FFEDEDED"/>
      <rgbColor rgb="FF993366"/>
      <rgbColor rgb="FFFFF2CC"/>
      <rgbColor rgb="FFDDEEFF"/>
      <rgbColor rgb="FF660066"/>
      <rgbColor rgb="FFFF8080"/>
      <rgbColor rgb="FF1F5C8B"/>
      <rgbColor rgb="FFBDD7EE"/>
      <rgbColor rgb="FF000080"/>
      <rgbColor rgb="FFFF00FF"/>
      <rgbColor rgb="FFF2F7FB"/>
      <rgbColor rgb="FF00FFFF"/>
      <rgbColor rgb="FF800080"/>
      <rgbColor rgb="FF800000"/>
      <rgbColor rgb="FF008080"/>
      <rgbColor rgb="FF0000FF"/>
      <rgbColor rgb="FF00CCFF"/>
      <rgbColor rgb="FFD6EAF8"/>
      <rgbColor rgb="FFE2EFDA"/>
      <rgbColor rgb="FFFCE4D6"/>
      <rgbColor rgb="FFD0D0D0"/>
      <rgbColor rgb="FFD6E4F0"/>
      <rgbColor rgb="FFEAD7F7"/>
      <rgbColor rgb="FFFFD966"/>
      <rgbColor rgb="FF2E75B6"/>
      <rgbColor rgb="FF33CCCC"/>
      <rgbColor rgb="FF99CC00"/>
      <rgbColor rgb="FFF8FAFD"/>
      <rgbColor rgb="FFE8A020"/>
      <rgbColor rgb="FFED7D31"/>
      <rgbColor rgb="FF666666"/>
      <rgbColor rgb="FF70AD47"/>
      <rgbColor rgb="FF1F3864"/>
      <rgbColor rgb="FF339966"/>
      <rgbColor rgb="FF375623"/>
      <rgbColor rgb="FF3A4E2B"/>
      <rgbColor rgb="FF843C0C"/>
      <rgbColor rgb="FF993366"/>
      <rgbColor rgb="FF4B2882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70"/>
  </cols>
  <sheetData>
    <row r="1" customFormat="false" ht="12" hidden="false" customHeight="true" outlineLevel="0" collapsed="false"/>
    <row r="2" customFormat="false" ht="18" hidden="false" customHeight="true" outlineLevel="0" collapsed="false">
      <c r="B2" s="1" t="s">
        <v>0</v>
      </c>
      <c r="C2" s="1"/>
    </row>
    <row r="3" customFormat="false" ht="18" hidden="false" customHeight="true" outlineLevel="0" collapsed="false">
      <c r="B3" s="1"/>
      <c r="C3" s="1"/>
    </row>
    <row r="4" customFormat="false" ht="18" hidden="false" customHeight="true" outlineLevel="0" collapsed="false">
      <c r="B4" s="1"/>
      <c r="C4" s="1"/>
    </row>
    <row r="5" customFormat="false" ht="18" hidden="false" customHeight="true" outlineLevel="0" collapsed="false">
      <c r="B5" s="1"/>
      <c r="C5" s="1"/>
    </row>
    <row r="6" customFormat="false" ht="18" hidden="false" customHeight="true" outlineLevel="0" collapsed="false">
      <c r="B6" s="1"/>
      <c r="C6" s="1"/>
    </row>
    <row r="7" customFormat="false" ht="18" hidden="false" customHeight="true" outlineLevel="0" collapsed="false">
      <c r="B7" s="1"/>
      <c r="C7" s="1"/>
    </row>
    <row r="8" customFormat="false" ht="21.75" hidden="false" customHeight="true" outlineLevel="0" collapsed="false">
      <c r="B8" s="2" t="s">
        <v>1</v>
      </c>
      <c r="C8" s="2"/>
    </row>
    <row r="10" customFormat="false" ht="19.5" hidden="false" customHeight="true" outlineLevel="0" collapsed="false">
      <c r="B10" s="3" t="s">
        <v>2</v>
      </c>
      <c r="C10" s="3"/>
    </row>
    <row r="11" customFormat="false" ht="15.75" hidden="false" customHeight="true" outlineLevel="0" collapsed="false">
      <c r="B11" s="4" t="s">
        <v>3</v>
      </c>
      <c r="C11" s="5" t="s">
        <v>4</v>
      </c>
    </row>
    <row r="12" customFormat="false" ht="15.75" hidden="false" customHeight="true" outlineLevel="0" collapsed="false">
      <c r="B12" s="6" t="s">
        <v>5</v>
      </c>
      <c r="C12" s="7" t="s">
        <v>6</v>
      </c>
    </row>
    <row r="13" customFormat="false" ht="15.75" hidden="false" customHeight="true" outlineLevel="0" collapsed="false">
      <c r="B13" s="4" t="s">
        <v>7</v>
      </c>
      <c r="C13" s="5" t="s">
        <v>8</v>
      </c>
    </row>
    <row r="14" customFormat="false" ht="15.75" hidden="false" customHeight="true" outlineLevel="0" collapsed="false">
      <c r="B14" s="6" t="s">
        <v>9</v>
      </c>
      <c r="C14" s="7" t="s">
        <v>10</v>
      </c>
    </row>
    <row r="15" customFormat="false" ht="15" hidden="false" customHeight="false" outlineLevel="0" collapsed="false">
      <c r="B15" s="8"/>
      <c r="C15" s="8"/>
    </row>
    <row r="16" customFormat="false" ht="19.5" hidden="false" customHeight="true" outlineLevel="0" collapsed="false">
      <c r="B16" s="3" t="s">
        <v>11</v>
      </c>
      <c r="C16" s="3"/>
    </row>
    <row r="17" customFormat="false" ht="15.75" hidden="false" customHeight="true" outlineLevel="0" collapsed="false">
      <c r="B17" s="4" t="s">
        <v>12</v>
      </c>
      <c r="C17" s="5" t="s">
        <v>13</v>
      </c>
    </row>
    <row r="18" customFormat="false" ht="15.75" hidden="false" customHeight="true" outlineLevel="0" collapsed="false">
      <c r="B18" s="6" t="s">
        <v>14</v>
      </c>
      <c r="C18" s="7" t="s">
        <v>15</v>
      </c>
    </row>
    <row r="19" customFormat="false" ht="15.75" hidden="false" customHeight="true" outlineLevel="0" collapsed="false">
      <c r="B19" s="4" t="s">
        <v>16</v>
      </c>
      <c r="C19" s="5" t="s">
        <v>17</v>
      </c>
    </row>
    <row r="20" customFormat="false" ht="15.75" hidden="false" customHeight="true" outlineLevel="0" collapsed="false">
      <c r="B20" s="6" t="s">
        <v>18</v>
      </c>
      <c r="C20" s="7" t="s">
        <v>19</v>
      </c>
    </row>
    <row r="21" customFormat="false" ht="15.75" hidden="false" customHeight="true" outlineLevel="0" collapsed="false">
      <c r="B21" s="4" t="s">
        <v>20</v>
      </c>
      <c r="C21" s="5" t="s">
        <v>21</v>
      </c>
    </row>
    <row r="22" customFormat="false" ht="15.75" hidden="false" customHeight="true" outlineLevel="0" collapsed="false">
      <c r="B22" s="6" t="s">
        <v>22</v>
      </c>
      <c r="C22" s="7" t="s">
        <v>23</v>
      </c>
    </row>
    <row r="23" customFormat="false" ht="15" hidden="false" customHeight="false" outlineLevel="0" collapsed="false">
      <c r="B23" s="8"/>
      <c r="C23" s="8"/>
    </row>
    <row r="24" customFormat="false" ht="19.5" hidden="false" customHeight="true" outlineLevel="0" collapsed="false">
      <c r="B24" s="3" t="s">
        <v>24</v>
      </c>
      <c r="C24" s="3"/>
    </row>
    <row r="25" customFormat="false" ht="15.75" hidden="false" customHeight="true" outlineLevel="0" collapsed="false">
      <c r="B25" s="4" t="s">
        <v>25</v>
      </c>
      <c r="C25" s="5" t="s">
        <v>26</v>
      </c>
    </row>
    <row r="26" customFormat="false" ht="15.75" hidden="false" customHeight="true" outlineLevel="0" collapsed="false">
      <c r="B26" s="6" t="s">
        <v>27</v>
      </c>
      <c r="C26" s="7" t="s">
        <v>28</v>
      </c>
    </row>
    <row r="27" customFormat="false" ht="15.75" hidden="false" customHeight="true" outlineLevel="0" collapsed="false">
      <c r="B27" s="4" t="s">
        <v>29</v>
      </c>
      <c r="C27" s="5" t="s">
        <v>30</v>
      </c>
    </row>
    <row r="28" customFormat="false" ht="15.75" hidden="false" customHeight="true" outlineLevel="0" collapsed="false">
      <c r="B28" s="6" t="s">
        <v>31</v>
      </c>
      <c r="C28" s="7" t="s">
        <v>32</v>
      </c>
    </row>
    <row r="29" customFormat="false" ht="15.75" hidden="false" customHeight="true" outlineLevel="0" collapsed="false">
      <c r="B29" s="4" t="s">
        <v>33</v>
      </c>
      <c r="C29" s="5" t="s">
        <v>34</v>
      </c>
    </row>
    <row r="30" customFormat="false" ht="15.75" hidden="false" customHeight="true" outlineLevel="0" collapsed="false">
      <c r="B30" s="6" t="s">
        <v>35</v>
      </c>
      <c r="C30" s="7" t="s">
        <v>36</v>
      </c>
    </row>
    <row r="31" customFormat="false" ht="15" hidden="false" customHeight="false" outlineLevel="0" collapsed="false">
      <c r="B31" s="8"/>
      <c r="C31" s="8"/>
    </row>
    <row r="32" customFormat="false" ht="19.5" hidden="false" customHeight="true" outlineLevel="0" collapsed="false">
      <c r="B32" s="3" t="s">
        <v>37</v>
      </c>
      <c r="C32" s="3"/>
    </row>
    <row r="33" customFormat="false" ht="48" hidden="false" customHeight="true" outlineLevel="0" collapsed="false">
      <c r="B33" s="9" t="s">
        <v>38</v>
      </c>
      <c r="C33" s="9"/>
    </row>
    <row r="34" customFormat="false" ht="15" hidden="false" customHeight="false" outlineLevel="0" collapsed="false">
      <c r="B34" s="9"/>
      <c r="C34" s="9"/>
    </row>
    <row r="35" customFormat="false" ht="15" hidden="false" customHeight="false" outlineLevel="0" collapsed="false">
      <c r="B35" s="9"/>
      <c r="C35" s="9"/>
    </row>
  </sheetData>
  <mergeCells count="7">
    <mergeCell ref="B2:C7"/>
    <mergeCell ref="B8:C8"/>
    <mergeCell ref="B10:C10"/>
    <mergeCell ref="B16:C16"/>
    <mergeCell ref="B24:C24"/>
    <mergeCell ref="B32:C32"/>
    <mergeCell ref="B33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Y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6" min="5" style="0" width="18"/>
    <col collapsed="false" customWidth="true" hidden="false" outlineLevel="0" max="7" min="7" style="0" width="22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3" min="12" style="0" width="16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7" min="17" style="0" width="13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1" min="21" style="0" width="14"/>
    <col collapsed="false" customWidth="true" hidden="false" outlineLevel="0" max="23" min="22" style="0" width="16"/>
    <col collapsed="false" customWidth="true" hidden="false" outlineLevel="0" max="25" min="24" style="0" width="18"/>
    <col collapsed="false" customWidth="true" hidden="false" outlineLevel="0" max="26" min="26" style="0" width="20"/>
    <col collapsed="false" customWidth="true" hidden="false" outlineLevel="0" max="28" min="27" style="0" width="18"/>
    <col collapsed="false" customWidth="true" hidden="false" outlineLevel="0" max="29" min="29" style="0" width="14"/>
    <col collapsed="false" customWidth="true" hidden="false" outlineLevel="0" max="30" min="30" style="0" width="20"/>
    <col collapsed="false" customWidth="true" hidden="false" outlineLevel="0" max="32" min="31" style="0" width="16"/>
    <col collapsed="false" customWidth="true" hidden="false" outlineLevel="0" max="34" min="33" style="0" width="14"/>
    <col collapsed="false" customWidth="true" hidden="false" outlineLevel="0" max="35" min="35" style="0" width="18"/>
    <col collapsed="false" customWidth="true" hidden="false" outlineLevel="0" max="38" min="36" style="0" width="22"/>
    <col collapsed="false" customWidth="true" hidden="false" outlineLevel="0" max="39" min="39" style="0" width="18"/>
    <col collapsed="false" customWidth="true" hidden="false" outlineLevel="0" max="40" min="40" style="0" width="22"/>
    <col collapsed="false" customWidth="true" hidden="false" outlineLevel="0" max="41" min="41" style="0" width="14"/>
    <col collapsed="false" customWidth="true" hidden="false" outlineLevel="0" max="42" min="42" style="0" width="12"/>
    <col collapsed="false" customWidth="true" hidden="false" outlineLevel="0" max="43" min="43" style="0" width="26"/>
    <col collapsed="false" customWidth="true" hidden="false" outlineLevel="0" max="44" min="44" style="0" width="18"/>
    <col collapsed="false" customWidth="true" hidden="false" outlineLevel="0" max="45" min="45" style="0" width="26"/>
    <col collapsed="false" customWidth="true" hidden="false" outlineLevel="0" max="46" min="46" style="0" width="20"/>
    <col collapsed="false" customWidth="true" hidden="false" outlineLevel="0" max="48" min="47" style="0" width="14"/>
    <col collapsed="false" customWidth="true" hidden="false" outlineLevel="0" max="49" min="49" style="0" width="18"/>
    <col collapsed="false" customWidth="true" hidden="false" outlineLevel="0" max="50" min="50" style="0" width="40"/>
    <col collapsed="false" customWidth="true" hidden="false" outlineLevel="0" max="51" min="51" style="0" width="30"/>
  </cols>
  <sheetData>
    <row r="1" customFormat="false" ht="21.75" hidden="false" customHeight="true" outlineLevel="0" collapsed="false">
      <c r="A1" s="10" t="s">
        <v>39</v>
      </c>
      <c r="B1" s="10"/>
      <c r="C1" s="10"/>
      <c r="D1" s="10"/>
      <c r="E1" s="10"/>
      <c r="F1" s="10"/>
      <c r="G1" s="10"/>
      <c r="H1" s="10"/>
      <c r="I1" s="11" t="s">
        <v>40</v>
      </c>
      <c r="J1" s="11"/>
      <c r="K1" s="11"/>
      <c r="L1" s="11"/>
      <c r="M1" s="11"/>
      <c r="N1" s="11"/>
      <c r="O1" s="11"/>
      <c r="P1" s="11"/>
      <c r="Q1" s="12" t="s">
        <v>41</v>
      </c>
      <c r="R1" s="12"/>
      <c r="S1" s="12"/>
      <c r="T1" s="12"/>
      <c r="U1" s="12"/>
      <c r="V1" s="12"/>
      <c r="W1" s="13" t="s">
        <v>42</v>
      </c>
      <c r="X1" s="13"/>
      <c r="Y1" s="13"/>
      <c r="Z1" s="13"/>
      <c r="AA1" s="13"/>
      <c r="AB1" s="13"/>
      <c r="AC1" s="13"/>
      <c r="AD1" s="13"/>
      <c r="AE1" s="14" t="s">
        <v>43</v>
      </c>
      <c r="AF1" s="14"/>
      <c r="AG1" s="14"/>
      <c r="AH1" s="14"/>
      <c r="AI1" s="14"/>
      <c r="AJ1" s="15" t="s">
        <v>44</v>
      </c>
      <c r="AK1" s="15"/>
      <c r="AL1" s="15"/>
      <c r="AM1" s="15"/>
      <c r="AN1" s="16" t="s">
        <v>45</v>
      </c>
      <c r="AO1" s="16"/>
      <c r="AP1" s="16"/>
      <c r="AQ1" s="16"/>
      <c r="AR1" s="16"/>
      <c r="AS1" s="16"/>
      <c r="AT1" s="17" t="s">
        <v>46</v>
      </c>
      <c r="AU1" s="17"/>
      <c r="AV1" s="17"/>
      <c r="AW1" s="17"/>
      <c r="AX1" s="17"/>
      <c r="AY1" s="17"/>
    </row>
    <row r="2" customFormat="false" ht="33.75" hidden="false" customHeight="true" outlineLevel="0" collapsed="false">
      <c r="A2" s="18" t="s">
        <v>47</v>
      </c>
      <c r="B2" s="18" t="s">
        <v>48</v>
      </c>
      <c r="C2" s="18" t="s">
        <v>49</v>
      </c>
      <c r="D2" s="18" t="s">
        <v>50</v>
      </c>
      <c r="E2" s="18" t="s">
        <v>51</v>
      </c>
      <c r="F2" s="18" t="s">
        <v>52</v>
      </c>
      <c r="G2" s="18" t="s">
        <v>53</v>
      </c>
      <c r="H2" s="18" t="s">
        <v>54</v>
      </c>
      <c r="I2" s="19" t="s">
        <v>55</v>
      </c>
      <c r="J2" s="19" t="s">
        <v>56</v>
      </c>
      <c r="K2" s="19" t="s">
        <v>57</v>
      </c>
      <c r="L2" s="19" t="s">
        <v>58</v>
      </c>
      <c r="M2" s="19" t="s">
        <v>59</v>
      </c>
      <c r="N2" s="19" t="s">
        <v>60</v>
      </c>
      <c r="O2" s="19" t="s">
        <v>61</v>
      </c>
      <c r="P2" s="19" t="s">
        <v>62</v>
      </c>
      <c r="Q2" s="20" t="s">
        <v>63</v>
      </c>
      <c r="R2" s="20" t="s">
        <v>64</v>
      </c>
      <c r="S2" s="20" t="s">
        <v>65</v>
      </c>
      <c r="T2" s="20" t="s">
        <v>66</v>
      </c>
      <c r="U2" s="20" t="s">
        <v>67</v>
      </c>
      <c r="V2" s="20" t="s">
        <v>68</v>
      </c>
      <c r="W2" s="21" t="s">
        <v>69</v>
      </c>
      <c r="X2" s="21" t="s">
        <v>70</v>
      </c>
      <c r="Y2" s="21" t="s">
        <v>71</v>
      </c>
      <c r="Z2" s="21" t="s">
        <v>72</v>
      </c>
      <c r="AA2" s="21" t="s">
        <v>73</v>
      </c>
      <c r="AB2" s="21" t="s">
        <v>74</v>
      </c>
      <c r="AC2" s="21" t="s">
        <v>75</v>
      </c>
      <c r="AD2" s="21" t="s">
        <v>76</v>
      </c>
      <c r="AE2" s="22" t="s">
        <v>77</v>
      </c>
      <c r="AF2" s="22" t="s">
        <v>78</v>
      </c>
      <c r="AG2" s="22" t="s">
        <v>79</v>
      </c>
      <c r="AH2" s="22" t="s">
        <v>80</v>
      </c>
      <c r="AI2" s="22" t="s">
        <v>81</v>
      </c>
      <c r="AJ2" s="23" t="s">
        <v>82</v>
      </c>
      <c r="AK2" s="23" t="s">
        <v>83</v>
      </c>
      <c r="AL2" s="23" t="s">
        <v>84</v>
      </c>
      <c r="AM2" s="23" t="s">
        <v>85</v>
      </c>
      <c r="AN2" s="24" t="s">
        <v>86</v>
      </c>
      <c r="AO2" s="24" t="s">
        <v>87</v>
      </c>
      <c r="AP2" s="24" t="s">
        <v>88</v>
      </c>
      <c r="AQ2" s="24" t="s">
        <v>89</v>
      </c>
      <c r="AR2" s="24" t="s">
        <v>90</v>
      </c>
      <c r="AS2" s="24" t="s">
        <v>91</v>
      </c>
      <c r="AT2" s="25" t="s">
        <v>92</v>
      </c>
      <c r="AU2" s="25" t="s">
        <v>93</v>
      </c>
      <c r="AV2" s="25" t="s">
        <v>94</v>
      </c>
      <c r="AW2" s="25" t="s">
        <v>95</v>
      </c>
      <c r="AX2" s="25" t="s">
        <v>96</v>
      </c>
      <c r="AY2" s="25" t="s">
        <v>97</v>
      </c>
    </row>
    <row r="3" customFormat="false" ht="39.75" hidden="false" customHeight="true" outlineLevel="0" collapsed="false">
      <c r="A3" s="26" t="s">
        <v>98</v>
      </c>
      <c r="B3" s="26" t="s">
        <v>99</v>
      </c>
      <c r="C3" s="26" t="s">
        <v>100</v>
      </c>
      <c r="D3" s="26" t="s">
        <v>101</v>
      </c>
      <c r="E3" s="26" t="s">
        <v>102</v>
      </c>
      <c r="F3" s="26" t="s">
        <v>103</v>
      </c>
      <c r="G3" s="26" t="s">
        <v>104</v>
      </c>
      <c r="H3" s="26" t="s">
        <v>105</v>
      </c>
      <c r="I3" s="27" t="s">
        <v>106</v>
      </c>
      <c r="J3" s="27" t="s">
        <v>107</v>
      </c>
      <c r="K3" s="27" t="s">
        <v>108</v>
      </c>
      <c r="L3" s="27" t="s">
        <v>109</v>
      </c>
      <c r="M3" s="27" t="s">
        <v>110</v>
      </c>
      <c r="N3" s="27" t="s">
        <v>111</v>
      </c>
      <c r="O3" s="27" t="s">
        <v>112</v>
      </c>
      <c r="P3" s="27" t="s">
        <v>113</v>
      </c>
      <c r="Q3" s="28" t="s">
        <v>114</v>
      </c>
      <c r="R3" s="28" t="s">
        <v>115</v>
      </c>
      <c r="S3" s="28" t="s">
        <v>116</v>
      </c>
      <c r="T3" s="28" t="s">
        <v>117</v>
      </c>
      <c r="U3" s="28" t="s">
        <v>118</v>
      </c>
      <c r="V3" s="28" t="s">
        <v>119</v>
      </c>
      <c r="W3" s="29" t="s">
        <v>120</v>
      </c>
      <c r="X3" s="29" t="s">
        <v>121</v>
      </c>
      <c r="Y3" s="29" t="s">
        <v>122</v>
      </c>
      <c r="Z3" s="29" t="s">
        <v>123</v>
      </c>
      <c r="AA3" s="29" t="s">
        <v>124</v>
      </c>
      <c r="AB3" s="29" t="s">
        <v>125</v>
      </c>
      <c r="AC3" s="29" t="s">
        <v>126</v>
      </c>
      <c r="AD3" s="29" t="s">
        <v>127</v>
      </c>
      <c r="AE3" s="30" t="s">
        <v>128</v>
      </c>
      <c r="AF3" s="30" t="s">
        <v>129</v>
      </c>
      <c r="AG3" s="30" t="s">
        <v>130</v>
      </c>
      <c r="AH3" s="30" t="s">
        <v>131</v>
      </c>
      <c r="AI3" s="30" t="s">
        <v>132</v>
      </c>
      <c r="AJ3" s="31" t="s">
        <v>133</v>
      </c>
      <c r="AK3" s="31" t="s">
        <v>134</v>
      </c>
      <c r="AL3" s="31" t="s">
        <v>135</v>
      </c>
      <c r="AM3" s="31" t="s">
        <v>136</v>
      </c>
      <c r="AN3" s="29" t="s">
        <v>137</v>
      </c>
      <c r="AO3" s="29" t="s">
        <v>138</v>
      </c>
      <c r="AP3" s="29" t="s">
        <v>139</v>
      </c>
      <c r="AQ3" s="29" t="s">
        <v>140</v>
      </c>
      <c r="AR3" s="29" t="s">
        <v>141</v>
      </c>
      <c r="AS3" s="29" t="s">
        <v>142</v>
      </c>
      <c r="AT3" s="32" t="s">
        <v>143</v>
      </c>
      <c r="AU3" s="32" t="s">
        <v>144</v>
      </c>
      <c r="AV3" s="32" t="s">
        <v>145</v>
      </c>
      <c r="AW3" s="32" t="s">
        <v>146</v>
      </c>
      <c r="AX3" s="32" t="s">
        <v>147</v>
      </c>
      <c r="AY3" s="32" t="s">
        <v>148</v>
      </c>
    </row>
    <row r="4" customFormat="false" ht="18" hidden="false" customHeight="true" outlineLevel="0" collapsed="false">
      <c r="A4" s="33" t="s">
        <v>149</v>
      </c>
      <c r="B4" s="33" t="s">
        <v>150</v>
      </c>
      <c r="C4" s="33" t="s">
        <v>151</v>
      </c>
      <c r="D4" s="33" t="s">
        <v>152</v>
      </c>
      <c r="E4" s="33" t="s">
        <v>153</v>
      </c>
      <c r="F4" s="33" t="s">
        <v>154</v>
      </c>
      <c r="G4" s="33" t="s">
        <v>155</v>
      </c>
      <c r="H4" s="33"/>
      <c r="I4" s="34" t="s">
        <v>156</v>
      </c>
      <c r="J4" s="34" t="s">
        <v>157</v>
      </c>
      <c r="K4" s="34" t="s">
        <v>158</v>
      </c>
      <c r="L4" s="34" t="s">
        <v>159</v>
      </c>
      <c r="M4" s="34" t="s">
        <v>160</v>
      </c>
      <c r="N4" s="34" t="s">
        <v>161</v>
      </c>
      <c r="O4" s="34" t="s">
        <v>162</v>
      </c>
      <c r="P4" s="34" t="s">
        <v>163</v>
      </c>
      <c r="Q4" s="35" t="s">
        <v>164</v>
      </c>
      <c r="R4" s="35" t="s">
        <v>165</v>
      </c>
      <c r="S4" s="35" t="s">
        <v>166</v>
      </c>
      <c r="T4" s="35" t="s">
        <v>167</v>
      </c>
      <c r="U4" s="35"/>
      <c r="V4" s="35" t="s">
        <v>168</v>
      </c>
      <c r="W4" s="36" t="s">
        <v>169</v>
      </c>
      <c r="X4" s="36" t="s">
        <v>170</v>
      </c>
      <c r="Y4" s="36" t="s">
        <v>171</v>
      </c>
      <c r="Z4" s="36" t="s">
        <v>172</v>
      </c>
      <c r="AA4" s="36" t="s">
        <v>173</v>
      </c>
      <c r="AB4" s="36" t="s">
        <v>174</v>
      </c>
      <c r="AC4" s="36" t="s">
        <v>175</v>
      </c>
      <c r="AD4" s="36"/>
      <c r="AE4" s="37" t="s">
        <v>176</v>
      </c>
      <c r="AF4" s="37" t="s">
        <v>177</v>
      </c>
      <c r="AG4" s="37" t="s">
        <v>178</v>
      </c>
      <c r="AH4" s="37" t="s">
        <v>179</v>
      </c>
      <c r="AI4" s="37" t="s">
        <v>180</v>
      </c>
      <c r="AJ4" s="38" t="s">
        <v>181</v>
      </c>
      <c r="AK4" s="38" t="s">
        <v>182</v>
      </c>
      <c r="AL4" s="38" t="s">
        <v>183</v>
      </c>
      <c r="AM4" s="38" t="s">
        <v>184</v>
      </c>
      <c r="AN4" s="36" t="s">
        <v>185</v>
      </c>
      <c r="AO4" s="36" t="s">
        <v>175</v>
      </c>
      <c r="AP4" s="36"/>
      <c r="AQ4" s="36" t="s">
        <v>186</v>
      </c>
      <c r="AR4" s="36" t="s">
        <v>187</v>
      </c>
      <c r="AS4" s="36" t="s">
        <v>188</v>
      </c>
      <c r="AT4" s="39" t="s">
        <v>189</v>
      </c>
      <c r="AU4" s="39" t="s">
        <v>190</v>
      </c>
      <c r="AV4" s="39" t="s">
        <v>190</v>
      </c>
      <c r="AW4" s="39" t="s">
        <v>191</v>
      </c>
      <c r="AX4" s="39" t="s">
        <v>192</v>
      </c>
      <c r="AY4" s="39" t="s">
        <v>193</v>
      </c>
    </row>
    <row r="5" customFormat="false" ht="18" hidden="false" customHeight="true" outlineLevel="0" collapsed="false">
      <c r="A5" s="40" t="s">
        <v>194</v>
      </c>
      <c r="B5" s="40" t="s">
        <v>195</v>
      </c>
      <c r="C5" s="40" t="s">
        <v>196</v>
      </c>
      <c r="D5" s="40" t="s">
        <v>197</v>
      </c>
      <c r="E5" s="40" t="s">
        <v>153</v>
      </c>
      <c r="F5" s="40" t="s">
        <v>154</v>
      </c>
      <c r="G5" s="40" t="s">
        <v>198</v>
      </c>
      <c r="H5" s="40"/>
      <c r="I5" s="40" t="s">
        <v>199</v>
      </c>
      <c r="J5" s="40" t="s">
        <v>200</v>
      </c>
      <c r="K5" s="40" t="s">
        <v>201</v>
      </c>
      <c r="L5" s="40" t="s">
        <v>202</v>
      </c>
      <c r="M5" s="40"/>
      <c r="N5" s="40" t="s">
        <v>161</v>
      </c>
      <c r="O5" s="40" t="s">
        <v>203</v>
      </c>
      <c r="P5" s="40" t="s">
        <v>204</v>
      </c>
      <c r="Q5" s="40" t="s">
        <v>205</v>
      </c>
      <c r="R5" s="40" t="s">
        <v>165</v>
      </c>
      <c r="S5" s="40" t="s">
        <v>206</v>
      </c>
      <c r="T5" s="40" t="s">
        <v>207</v>
      </c>
      <c r="U5" s="40"/>
      <c r="V5" s="40" t="s">
        <v>177</v>
      </c>
      <c r="W5" s="40" t="s">
        <v>208</v>
      </c>
      <c r="X5" s="40" t="s">
        <v>209</v>
      </c>
      <c r="Y5" s="40" t="s">
        <v>210</v>
      </c>
      <c r="Z5" s="40" t="s">
        <v>211</v>
      </c>
      <c r="AA5" s="40" t="s">
        <v>212</v>
      </c>
      <c r="AB5" s="40"/>
      <c r="AC5" s="40" t="s">
        <v>175</v>
      </c>
      <c r="AD5" s="40"/>
      <c r="AE5" s="40"/>
      <c r="AF5" s="40" t="s">
        <v>213</v>
      </c>
      <c r="AG5" s="40" t="s">
        <v>214</v>
      </c>
      <c r="AH5" s="40" t="s">
        <v>215</v>
      </c>
      <c r="AI5" s="40" t="s">
        <v>216</v>
      </c>
      <c r="AJ5" s="40" t="s">
        <v>181</v>
      </c>
      <c r="AK5" s="40" t="s">
        <v>182</v>
      </c>
      <c r="AL5" s="40" t="s">
        <v>217</v>
      </c>
      <c r="AM5" s="40" t="s">
        <v>218</v>
      </c>
      <c r="AN5" s="40" t="s">
        <v>219</v>
      </c>
      <c r="AO5" s="40" t="s">
        <v>175</v>
      </c>
      <c r="AP5" s="40"/>
      <c r="AQ5" s="40" t="s">
        <v>220</v>
      </c>
      <c r="AR5" s="40" t="s">
        <v>187</v>
      </c>
      <c r="AS5" s="40" t="s">
        <v>149</v>
      </c>
      <c r="AT5" s="40" t="s">
        <v>221</v>
      </c>
      <c r="AU5" s="40" t="s">
        <v>190</v>
      </c>
      <c r="AV5" s="40" t="s">
        <v>190</v>
      </c>
      <c r="AW5" s="40" t="s">
        <v>191</v>
      </c>
      <c r="AX5" s="40" t="s">
        <v>222</v>
      </c>
      <c r="AY5" s="40" t="s">
        <v>223</v>
      </c>
    </row>
    <row r="6" customFormat="false" ht="18" hidden="false" customHeight="true" outlineLevel="0" collapsed="false">
      <c r="A6" s="33" t="s">
        <v>224</v>
      </c>
      <c r="B6" s="33" t="s">
        <v>225</v>
      </c>
      <c r="C6" s="33" t="s">
        <v>226</v>
      </c>
      <c r="D6" s="33" t="s">
        <v>152</v>
      </c>
      <c r="E6" s="33" t="s">
        <v>153</v>
      </c>
      <c r="F6" s="33" t="s">
        <v>227</v>
      </c>
      <c r="G6" s="33" t="s">
        <v>228</v>
      </c>
      <c r="H6" s="33" t="s">
        <v>229</v>
      </c>
      <c r="I6" s="34" t="s">
        <v>230</v>
      </c>
      <c r="J6" s="34" t="s">
        <v>231</v>
      </c>
      <c r="K6" s="34" t="s">
        <v>232</v>
      </c>
      <c r="L6" s="34" t="s">
        <v>233</v>
      </c>
      <c r="M6" s="34"/>
      <c r="N6" s="34" t="s">
        <v>234</v>
      </c>
      <c r="O6" s="34"/>
      <c r="P6" s="34" t="s">
        <v>235</v>
      </c>
      <c r="Q6" s="35" t="s">
        <v>236</v>
      </c>
      <c r="R6" s="35" t="s">
        <v>237</v>
      </c>
      <c r="S6" s="35" t="s">
        <v>238</v>
      </c>
      <c r="T6" s="35" t="s">
        <v>239</v>
      </c>
      <c r="U6" s="35"/>
      <c r="V6" s="35" t="s">
        <v>168</v>
      </c>
      <c r="W6" s="36" t="s">
        <v>240</v>
      </c>
      <c r="X6" s="36" t="s">
        <v>241</v>
      </c>
      <c r="Y6" s="36" t="s">
        <v>242</v>
      </c>
      <c r="Z6" s="36" t="s">
        <v>243</v>
      </c>
      <c r="AA6" s="36" t="s">
        <v>244</v>
      </c>
      <c r="AB6" s="36" t="s">
        <v>245</v>
      </c>
      <c r="AC6" s="36" t="s">
        <v>175</v>
      </c>
      <c r="AD6" s="36"/>
      <c r="AE6" s="37" t="s">
        <v>246</v>
      </c>
      <c r="AF6" s="37" t="s">
        <v>247</v>
      </c>
      <c r="AG6" s="37" t="s">
        <v>248</v>
      </c>
      <c r="AH6" s="37"/>
      <c r="AI6" s="37" t="s">
        <v>180</v>
      </c>
      <c r="AJ6" s="38" t="s">
        <v>249</v>
      </c>
      <c r="AK6" s="38"/>
      <c r="AL6" s="38" t="s">
        <v>250</v>
      </c>
      <c r="AM6" s="38" t="s">
        <v>251</v>
      </c>
      <c r="AN6" s="36" t="s">
        <v>252</v>
      </c>
      <c r="AO6" s="36" t="s">
        <v>175</v>
      </c>
      <c r="AP6" s="36"/>
      <c r="AQ6" s="36" t="s">
        <v>253</v>
      </c>
      <c r="AR6" s="36" t="s">
        <v>254</v>
      </c>
      <c r="AS6" s="36" t="s">
        <v>255</v>
      </c>
      <c r="AT6" s="39" t="s">
        <v>256</v>
      </c>
      <c r="AU6" s="39" t="s">
        <v>257</v>
      </c>
      <c r="AV6" s="39" t="s">
        <v>258</v>
      </c>
      <c r="AW6" s="39" t="s">
        <v>191</v>
      </c>
      <c r="AX6" s="39" t="s">
        <v>259</v>
      </c>
      <c r="AY6" s="39" t="s">
        <v>260</v>
      </c>
    </row>
    <row r="7" customFormat="false" ht="18" hidden="false" customHeight="true" outlineLevel="0" collapsed="false">
      <c r="A7" s="40" t="s">
        <v>261</v>
      </c>
      <c r="B7" s="40" t="s">
        <v>262</v>
      </c>
      <c r="C7" s="40" t="s">
        <v>263</v>
      </c>
      <c r="D7" s="40" t="s">
        <v>264</v>
      </c>
      <c r="E7" s="40" t="s">
        <v>153</v>
      </c>
      <c r="F7" s="40" t="s">
        <v>265</v>
      </c>
      <c r="G7" s="40" t="s">
        <v>266</v>
      </c>
      <c r="H7" s="40"/>
      <c r="I7" s="40" t="s">
        <v>267</v>
      </c>
      <c r="J7" s="40" t="s">
        <v>268</v>
      </c>
      <c r="K7" s="40" t="s">
        <v>269</v>
      </c>
      <c r="L7" s="40"/>
      <c r="M7" s="40"/>
      <c r="N7" s="40" t="s">
        <v>270</v>
      </c>
      <c r="O7" s="40" t="s">
        <v>271</v>
      </c>
      <c r="P7" s="40" t="s">
        <v>272</v>
      </c>
      <c r="Q7" s="40" t="s">
        <v>273</v>
      </c>
      <c r="R7" s="40" t="s">
        <v>274</v>
      </c>
      <c r="S7" s="40" t="s">
        <v>275</v>
      </c>
      <c r="T7" s="40" t="s">
        <v>207</v>
      </c>
      <c r="U7" s="40" t="s">
        <v>276</v>
      </c>
      <c r="V7" s="40" t="s">
        <v>168</v>
      </c>
      <c r="W7" s="40" t="s">
        <v>277</v>
      </c>
      <c r="X7" s="40" t="s">
        <v>278</v>
      </c>
      <c r="Y7" s="40" t="s">
        <v>279</v>
      </c>
      <c r="Z7" s="40" t="s">
        <v>280</v>
      </c>
      <c r="AA7" s="40" t="s">
        <v>281</v>
      </c>
      <c r="AB7" s="40"/>
      <c r="AC7" s="40" t="s">
        <v>187</v>
      </c>
      <c r="AD7" s="40" t="s">
        <v>282</v>
      </c>
      <c r="AE7" s="40"/>
      <c r="AF7" s="40" t="s">
        <v>213</v>
      </c>
      <c r="AG7" s="40" t="s">
        <v>214</v>
      </c>
      <c r="AH7" s="40" t="s">
        <v>274</v>
      </c>
      <c r="AI7" s="40" t="s">
        <v>216</v>
      </c>
      <c r="AJ7" s="40" t="s">
        <v>283</v>
      </c>
      <c r="AK7" s="40" t="s">
        <v>284</v>
      </c>
      <c r="AL7" s="40" t="s">
        <v>285</v>
      </c>
      <c r="AM7" s="40" t="s">
        <v>286</v>
      </c>
      <c r="AN7" s="40" t="s">
        <v>287</v>
      </c>
      <c r="AO7" s="40" t="s">
        <v>175</v>
      </c>
      <c r="AP7" s="40"/>
      <c r="AQ7" s="40" t="s">
        <v>288</v>
      </c>
      <c r="AR7" s="40" t="s">
        <v>175</v>
      </c>
      <c r="AS7" s="40" t="s">
        <v>289</v>
      </c>
      <c r="AT7" s="40" t="s">
        <v>290</v>
      </c>
      <c r="AU7" s="40" t="s">
        <v>291</v>
      </c>
      <c r="AV7" s="40" t="s">
        <v>291</v>
      </c>
      <c r="AW7" s="40" t="s">
        <v>191</v>
      </c>
      <c r="AX7" s="40" t="s">
        <v>292</v>
      </c>
      <c r="AY7" s="40" t="s">
        <v>293</v>
      </c>
    </row>
    <row r="8" customFormat="false" ht="18" hidden="false" customHeight="true" outlineLevel="0" collapsed="false">
      <c r="A8" s="33" t="s">
        <v>294</v>
      </c>
      <c r="B8" s="33" t="s">
        <v>295</v>
      </c>
      <c r="C8" s="33" t="s">
        <v>296</v>
      </c>
      <c r="D8" s="33" t="s">
        <v>264</v>
      </c>
      <c r="E8" s="33" t="s">
        <v>153</v>
      </c>
      <c r="F8" s="33" t="s">
        <v>265</v>
      </c>
      <c r="G8" s="33" t="s">
        <v>297</v>
      </c>
      <c r="H8" s="33"/>
      <c r="I8" s="34" t="s">
        <v>298</v>
      </c>
      <c r="J8" s="34" t="s">
        <v>299</v>
      </c>
      <c r="K8" s="34" t="s">
        <v>300</v>
      </c>
      <c r="L8" s="34" t="s">
        <v>301</v>
      </c>
      <c r="M8" s="34"/>
      <c r="N8" s="34" t="s">
        <v>270</v>
      </c>
      <c r="O8" s="34" t="s">
        <v>302</v>
      </c>
      <c r="P8" s="34" t="s">
        <v>272</v>
      </c>
      <c r="Q8" s="35" t="s">
        <v>303</v>
      </c>
      <c r="R8" s="35" t="s">
        <v>304</v>
      </c>
      <c r="S8" s="35" t="s">
        <v>305</v>
      </c>
      <c r="T8" s="35" t="s">
        <v>207</v>
      </c>
      <c r="U8" s="35" t="s">
        <v>306</v>
      </c>
      <c r="V8" s="35" t="s">
        <v>177</v>
      </c>
      <c r="W8" s="36" t="s">
        <v>307</v>
      </c>
      <c r="X8" s="36" t="s">
        <v>308</v>
      </c>
      <c r="Y8" s="36" t="s">
        <v>309</v>
      </c>
      <c r="Z8" s="36" t="s">
        <v>280</v>
      </c>
      <c r="AA8" s="36" t="s">
        <v>310</v>
      </c>
      <c r="AB8" s="36" t="s">
        <v>311</v>
      </c>
      <c r="AC8" s="36" t="s">
        <v>175</v>
      </c>
      <c r="AD8" s="36"/>
      <c r="AE8" s="37" t="s">
        <v>312</v>
      </c>
      <c r="AF8" s="37" t="s">
        <v>177</v>
      </c>
      <c r="AG8" s="37" t="s">
        <v>178</v>
      </c>
      <c r="AH8" s="37" t="s">
        <v>313</v>
      </c>
      <c r="AI8" s="37" t="s">
        <v>180</v>
      </c>
      <c r="AJ8" s="38" t="s">
        <v>283</v>
      </c>
      <c r="AK8" s="38" t="s">
        <v>284</v>
      </c>
      <c r="AL8" s="38" t="s">
        <v>314</v>
      </c>
      <c r="AM8" s="38" t="s">
        <v>315</v>
      </c>
      <c r="AN8" s="36" t="s">
        <v>316</v>
      </c>
      <c r="AO8" s="36" t="s">
        <v>175</v>
      </c>
      <c r="AP8" s="36"/>
      <c r="AQ8" s="36" t="s">
        <v>317</v>
      </c>
      <c r="AR8" s="36" t="s">
        <v>175</v>
      </c>
      <c r="AS8" s="36" t="s">
        <v>261</v>
      </c>
      <c r="AT8" s="39" t="s">
        <v>290</v>
      </c>
      <c r="AU8" s="39" t="s">
        <v>291</v>
      </c>
      <c r="AV8" s="39" t="s">
        <v>291</v>
      </c>
      <c r="AW8" s="39" t="s">
        <v>191</v>
      </c>
      <c r="AX8" s="39" t="s">
        <v>318</v>
      </c>
      <c r="AY8" s="39" t="s">
        <v>319</v>
      </c>
    </row>
    <row r="9" customFormat="false" ht="18" hidden="false" customHeight="true" outlineLevel="0" collapsed="false">
      <c r="A9" s="40" t="s">
        <v>320</v>
      </c>
      <c r="B9" s="40" t="s">
        <v>321</v>
      </c>
      <c r="C9" s="40" t="s">
        <v>322</v>
      </c>
      <c r="D9" s="40" t="s">
        <v>152</v>
      </c>
      <c r="E9" s="40" t="s">
        <v>153</v>
      </c>
      <c r="F9" s="40" t="s">
        <v>154</v>
      </c>
      <c r="G9" s="40" t="s">
        <v>323</v>
      </c>
      <c r="H9" s="40"/>
      <c r="I9" s="40" t="s">
        <v>324</v>
      </c>
      <c r="J9" s="40" t="s">
        <v>325</v>
      </c>
      <c r="K9" s="40" t="s">
        <v>326</v>
      </c>
      <c r="L9" s="40" t="s">
        <v>327</v>
      </c>
      <c r="M9" s="40"/>
      <c r="N9" s="40" t="s">
        <v>328</v>
      </c>
      <c r="O9" s="40"/>
      <c r="P9" s="40" t="s">
        <v>329</v>
      </c>
      <c r="Q9" s="40" t="s">
        <v>330</v>
      </c>
      <c r="R9" s="40" t="s">
        <v>165</v>
      </c>
      <c r="S9" s="40" t="s">
        <v>331</v>
      </c>
      <c r="T9" s="40" t="s">
        <v>207</v>
      </c>
      <c r="U9" s="40" t="s">
        <v>332</v>
      </c>
      <c r="V9" s="40" t="s">
        <v>168</v>
      </c>
      <c r="W9" s="40" t="s">
        <v>333</v>
      </c>
      <c r="X9" s="40" t="s">
        <v>334</v>
      </c>
      <c r="Y9" s="40" t="s">
        <v>335</v>
      </c>
      <c r="Z9" s="40" t="s">
        <v>336</v>
      </c>
      <c r="AA9" s="40" t="s">
        <v>337</v>
      </c>
      <c r="AB9" s="40"/>
      <c r="AC9" s="40" t="s">
        <v>175</v>
      </c>
      <c r="AD9" s="40"/>
      <c r="AE9" s="40"/>
      <c r="AF9" s="40" t="s">
        <v>213</v>
      </c>
      <c r="AG9" s="40" t="s">
        <v>214</v>
      </c>
      <c r="AH9" s="40" t="s">
        <v>165</v>
      </c>
      <c r="AI9" s="40" t="s">
        <v>216</v>
      </c>
      <c r="AJ9" s="40" t="s">
        <v>338</v>
      </c>
      <c r="AK9" s="40"/>
      <c r="AL9" s="40" t="s">
        <v>339</v>
      </c>
      <c r="AM9" s="40" t="s">
        <v>340</v>
      </c>
      <c r="AN9" s="40" t="s">
        <v>341</v>
      </c>
      <c r="AO9" s="40" t="s">
        <v>187</v>
      </c>
      <c r="AP9" s="40" t="s">
        <v>342</v>
      </c>
      <c r="AQ9" s="40" t="s">
        <v>343</v>
      </c>
      <c r="AR9" s="40" t="s">
        <v>344</v>
      </c>
      <c r="AS9" s="40" t="s">
        <v>149</v>
      </c>
      <c r="AT9" s="40" t="s">
        <v>345</v>
      </c>
      <c r="AU9" s="40" t="s">
        <v>190</v>
      </c>
      <c r="AV9" s="40" t="s">
        <v>190</v>
      </c>
      <c r="AW9" s="40" t="s">
        <v>191</v>
      </c>
      <c r="AX9" s="40" t="s">
        <v>346</v>
      </c>
      <c r="AY9" s="40" t="s">
        <v>347</v>
      </c>
    </row>
    <row r="10" customFormat="false" ht="18" hidden="false" customHeight="true" outlineLevel="0" collapsed="false">
      <c r="A10" s="33" t="s">
        <v>348</v>
      </c>
      <c r="B10" s="33" t="s">
        <v>349</v>
      </c>
      <c r="C10" s="33" t="s">
        <v>350</v>
      </c>
      <c r="D10" s="33" t="s">
        <v>152</v>
      </c>
      <c r="E10" s="33" t="s">
        <v>153</v>
      </c>
      <c r="F10" s="33" t="s">
        <v>154</v>
      </c>
      <c r="G10" s="33" t="s">
        <v>155</v>
      </c>
      <c r="H10" s="33"/>
      <c r="I10" s="34" t="s">
        <v>351</v>
      </c>
      <c r="J10" s="34" t="s">
        <v>352</v>
      </c>
      <c r="K10" s="34" t="s">
        <v>353</v>
      </c>
      <c r="L10" s="34" t="s">
        <v>354</v>
      </c>
      <c r="M10" s="34"/>
      <c r="N10" s="34" t="s">
        <v>355</v>
      </c>
      <c r="O10" s="34"/>
      <c r="P10" s="34"/>
      <c r="Q10" s="35" t="s">
        <v>356</v>
      </c>
      <c r="R10" s="35" t="s">
        <v>357</v>
      </c>
      <c r="S10" s="35" t="s">
        <v>358</v>
      </c>
      <c r="T10" s="35" t="s">
        <v>207</v>
      </c>
      <c r="U10" s="35"/>
      <c r="V10" s="35" t="s">
        <v>177</v>
      </c>
      <c r="W10" s="36" t="s">
        <v>359</v>
      </c>
      <c r="X10" s="36" t="s">
        <v>360</v>
      </c>
      <c r="Y10" s="36" t="s">
        <v>361</v>
      </c>
      <c r="Z10" s="36" t="s">
        <v>172</v>
      </c>
      <c r="AA10" s="36" t="s">
        <v>362</v>
      </c>
      <c r="AB10" s="36"/>
      <c r="AC10" s="36" t="s">
        <v>175</v>
      </c>
      <c r="AD10" s="36"/>
      <c r="AE10" s="37" t="s">
        <v>363</v>
      </c>
      <c r="AF10" s="37" t="s">
        <v>168</v>
      </c>
      <c r="AG10" s="37" t="s">
        <v>178</v>
      </c>
      <c r="AH10" s="37" t="s">
        <v>364</v>
      </c>
      <c r="AI10" s="37" t="s">
        <v>180</v>
      </c>
      <c r="AJ10" s="38" t="s">
        <v>182</v>
      </c>
      <c r="AK10" s="38" t="s">
        <v>284</v>
      </c>
      <c r="AL10" s="38" t="s">
        <v>351</v>
      </c>
      <c r="AM10" s="38" t="s">
        <v>365</v>
      </c>
      <c r="AN10" s="36" t="s">
        <v>366</v>
      </c>
      <c r="AO10" s="36" t="s">
        <v>175</v>
      </c>
      <c r="AP10" s="36"/>
      <c r="AQ10" s="36" t="s">
        <v>367</v>
      </c>
      <c r="AR10" s="36" t="s">
        <v>175</v>
      </c>
      <c r="AS10" s="36"/>
      <c r="AT10" s="39" t="s">
        <v>221</v>
      </c>
      <c r="AU10" s="39" t="s">
        <v>190</v>
      </c>
      <c r="AV10" s="39" t="s">
        <v>190</v>
      </c>
      <c r="AW10" s="39" t="s">
        <v>191</v>
      </c>
      <c r="AX10" s="39" t="s">
        <v>368</v>
      </c>
      <c r="AY10" s="39" t="s">
        <v>369</v>
      </c>
    </row>
    <row r="11" customFormat="false" ht="18" hidden="false" customHeight="true" outlineLevel="0" collapsed="false">
      <c r="A11" s="40" t="s">
        <v>370</v>
      </c>
      <c r="B11" s="40" t="s">
        <v>371</v>
      </c>
      <c r="C11" s="40" t="s">
        <v>372</v>
      </c>
      <c r="D11" s="40" t="s">
        <v>264</v>
      </c>
      <c r="E11" s="40" t="s">
        <v>153</v>
      </c>
      <c r="F11" s="40" t="s">
        <v>265</v>
      </c>
      <c r="G11" s="40" t="s">
        <v>373</v>
      </c>
      <c r="H11" s="40"/>
      <c r="I11" s="40" t="s">
        <v>374</v>
      </c>
      <c r="J11" s="40" t="s">
        <v>375</v>
      </c>
      <c r="K11" s="40" t="s">
        <v>376</v>
      </c>
      <c r="L11" s="40" t="s">
        <v>377</v>
      </c>
      <c r="M11" s="40"/>
      <c r="N11" s="40" t="s">
        <v>378</v>
      </c>
      <c r="O11" s="40"/>
      <c r="P11" s="40" t="s">
        <v>204</v>
      </c>
      <c r="Q11" s="40" t="s">
        <v>379</v>
      </c>
      <c r="R11" s="40"/>
      <c r="S11" s="40"/>
      <c r="T11" s="40" t="s">
        <v>380</v>
      </c>
      <c r="U11" s="40"/>
      <c r="V11" s="40" t="s">
        <v>168</v>
      </c>
      <c r="W11" s="40" t="s">
        <v>381</v>
      </c>
      <c r="X11" s="40" t="s">
        <v>382</v>
      </c>
      <c r="Y11" s="40"/>
      <c r="Z11" s="40" t="s">
        <v>383</v>
      </c>
      <c r="AA11" s="40" t="s">
        <v>384</v>
      </c>
      <c r="AB11" s="40"/>
      <c r="AC11" s="40" t="s">
        <v>187</v>
      </c>
      <c r="AD11" s="40" t="s">
        <v>385</v>
      </c>
      <c r="AE11" s="40"/>
      <c r="AF11" s="40" t="s">
        <v>380</v>
      </c>
      <c r="AG11" s="40" t="s">
        <v>380</v>
      </c>
      <c r="AH11" s="40"/>
      <c r="AI11" s="40" t="s">
        <v>180</v>
      </c>
      <c r="AJ11" s="40" t="s">
        <v>380</v>
      </c>
      <c r="AK11" s="40" t="s">
        <v>380</v>
      </c>
      <c r="AL11" s="40" t="s">
        <v>374</v>
      </c>
      <c r="AM11" s="40" t="s">
        <v>380</v>
      </c>
      <c r="AN11" s="40" t="s">
        <v>386</v>
      </c>
      <c r="AO11" s="40" t="s">
        <v>175</v>
      </c>
      <c r="AP11" s="40"/>
      <c r="AQ11" s="40" t="s">
        <v>387</v>
      </c>
      <c r="AR11" s="40" t="s">
        <v>175</v>
      </c>
      <c r="AS11" s="40"/>
      <c r="AT11" s="40" t="s">
        <v>388</v>
      </c>
      <c r="AU11" s="40" t="s">
        <v>257</v>
      </c>
      <c r="AV11" s="40" t="s">
        <v>257</v>
      </c>
      <c r="AW11" s="40" t="s">
        <v>191</v>
      </c>
      <c r="AX11" s="40" t="s">
        <v>389</v>
      </c>
      <c r="AY11" s="40" t="s">
        <v>390</v>
      </c>
    </row>
    <row r="12" customFormat="false" ht="18" hidden="false" customHeight="true" outlineLevel="0" collapsed="false">
      <c r="A12" s="33" t="s">
        <v>391</v>
      </c>
      <c r="B12" s="33" t="s">
        <v>392</v>
      </c>
      <c r="C12" s="33" t="s">
        <v>393</v>
      </c>
      <c r="D12" s="33" t="s">
        <v>394</v>
      </c>
      <c r="E12" s="33" t="s">
        <v>153</v>
      </c>
      <c r="F12" s="33" t="s">
        <v>227</v>
      </c>
      <c r="G12" s="33" t="s">
        <v>395</v>
      </c>
      <c r="H12" s="33"/>
      <c r="I12" s="34" t="s">
        <v>396</v>
      </c>
      <c r="J12" s="34" t="s">
        <v>397</v>
      </c>
      <c r="K12" s="34" t="s">
        <v>398</v>
      </c>
      <c r="L12" s="34"/>
      <c r="M12" s="34"/>
      <c r="N12" s="34"/>
      <c r="O12" s="34"/>
      <c r="P12" s="34"/>
      <c r="Q12" s="35" t="s">
        <v>399</v>
      </c>
      <c r="R12" s="35" t="s">
        <v>400</v>
      </c>
      <c r="S12" s="35"/>
      <c r="T12" s="35" t="s">
        <v>207</v>
      </c>
      <c r="U12" s="35"/>
      <c r="V12" s="35" t="s">
        <v>247</v>
      </c>
      <c r="W12" s="36"/>
      <c r="X12" s="36"/>
      <c r="Y12" s="36"/>
      <c r="Z12" s="36" t="s">
        <v>401</v>
      </c>
      <c r="AA12" s="36" t="s">
        <v>402</v>
      </c>
      <c r="AB12" s="36" t="s">
        <v>403</v>
      </c>
      <c r="AC12" s="36" t="s">
        <v>175</v>
      </c>
      <c r="AD12" s="36"/>
      <c r="AE12" s="37"/>
      <c r="AF12" s="37" t="s">
        <v>213</v>
      </c>
      <c r="AG12" s="37"/>
      <c r="AH12" s="37"/>
      <c r="AI12" s="37" t="s">
        <v>216</v>
      </c>
      <c r="AJ12" s="38" t="s">
        <v>404</v>
      </c>
      <c r="AK12" s="38"/>
      <c r="AL12" s="38" t="s">
        <v>396</v>
      </c>
      <c r="AM12" s="38" t="s">
        <v>405</v>
      </c>
      <c r="AN12" s="36" t="s">
        <v>406</v>
      </c>
      <c r="AO12" s="36" t="s">
        <v>175</v>
      </c>
      <c r="AP12" s="36"/>
      <c r="AQ12" s="36" t="s">
        <v>407</v>
      </c>
      <c r="AR12" s="36" t="s">
        <v>175</v>
      </c>
      <c r="AS12" s="36" t="s">
        <v>224</v>
      </c>
      <c r="AT12" s="39" t="s">
        <v>388</v>
      </c>
      <c r="AU12" s="39" t="s">
        <v>258</v>
      </c>
      <c r="AV12" s="39" t="s">
        <v>258</v>
      </c>
      <c r="AW12" s="39" t="s">
        <v>191</v>
      </c>
      <c r="AX12" s="39" t="s">
        <v>408</v>
      </c>
      <c r="AY12" s="39" t="s">
        <v>409</v>
      </c>
    </row>
    <row r="13" customFormat="false" ht="18" hidden="false" customHeight="true" outlineLevel="0" collapsed="false">
      <c r="A13" s="40" t="s">
        <v>255</v>
      </c>
      <c r="B13" s="40" t="s">
        <v>410</v>
      </c>
      <c r="C13" s="40" t="s">
        <v>411</v>
      </c>
      <c r="D13" s="40" t="s">
        <v>197</v>
      </c>
      <c r="E13" s="40" t="s">
        <v>153</v>
      </c>
      <c r="F13" s="40" t="s">
        <v>412</v>
      </c>
      <c r="G13" s="40" t="s">
        <v>413</v>
      </c>
      <c r="H13" s="40"/>
      <c r="I13" s="40" t="s">
        <v>414</v>
      </c>
      <c r="J13" s="40" t="s">
        <v>415</v>
      </c>
      <c r="K13" s="40" t="s">
        <v>416</v>
      </c>
      <c r="L13" s="40"/>
      <c r="M13" s="40"/>
      <c r="N13" s="40" t="s">
        <v>417</v>
      </c>
      <c r="O13" s="40" t="s">
        <v>418</v>
      </c>
      <c r="P13" s="40" t="s">
        <v>272</v>
      </c>
      <c r="Q13" s="40" t="s">
        <v>419</v>
      </c>
      <c r="R13" s="40" t="s">
        <v>420</v>
      </c>
      <c r="S13" s="40" t="s">
        <v>421</v>
      </c>
      <c r="T13" s="40" t="s">
        <v>207</v>
      </c>
      <c r="U13" s="40" t="s">
        <v>422</v>
      </c>
      <c r="V13" s="40" t="s">
        <v>177</v>
      </c>
      <c r="W13" s="40" t="s">
        <v>423</v>
      </c>
      <c r="X13" s="40" t="s">
        <v>424</v>
      </c>
      <c r="Y13" s="40" t="s">
        <v>425</v>
      </c>
      <c r="Z13" s="40" t="s">
        <v>211</v>
      </c>
      <c r="AA13" s="40" t="s">
        <v>212</v>
      </c>
      <c r="AB13" s="40" t="s">
        <v>426</v>
      </c>
      <c r="AC13" s="40" t="s">
        <v>175</v>
      </c>
      <c r="AD13" s="40"/>
      <c r="AE13" s="40"/>
      <c r="AF13" s="40" t="s">
        <v>427</v>
      </c>
      <c r="AG13" s="40" t="s">
        <v>214</v>
      </c>
      <c r="AH13" s="40" t="s">
        <v>428</v>
      </c>
      <c r="AI13" s="40" t="s">
        <v>216</v>
      </c>
      <c r="AJ13" s="40" t="s">
        <v>181</v>
      </c>
      <c r="AK13" s="40" t="s">
        <v>182</v>
      </c>
      <c r="AL13" s="40" t="s">
        <v>429</v>
      </c>
      <c r="AM13" s="40"/>
      <c r="AN13" s="40" t="s">
        <v>430</v>
      </c>
      <c r="AO13" s="40" t="s">
        <v>175</v>
      </c>
      <c r="AP13" s="40"/>
      <c r="AQ13" s="40" t="s">
        <v>431</v>
      </c>
      <c r="AR13" s="40" t="s">
        <v>175</v>
      </c>
      <c r="AS13" s="40" t="s">
        <v>432</v>
      </c>
      <c r="AT13" s="40" t="s">
        <v>189</v>
      </c>
      <c r="AU13" s="40" t="s">
        <v>190</v>
      </c>
      <c r="AV13" s="40" t="s">
        <v>190</v>
      </c>
      <c r="AW13" s="40" t="s">
        <v>191</v>
      </c>
      <c r="AX13" s="40" t="s">
        <v>433</v>
      </c>
      <c r="AY13" s="40" t="s">
        <v>434</v>
      </c>
    </row>
  </sheetData>
  <mergeCells count="8">
    <mergeCell ref="A1:H1"/>
    <mergeCell ref="I1:P1"/>
    <mergeCell ref="Q1:V1"/>
    <mergeCell ref="W1:AD1"/>
    <mergeCell ref="AE1:AI1"/>
    <mergeCell ref="AJ1:AM1"/>
    <mergeCell ref="AN1:AS1"/>
    <mergeCell ref="AT1:AY1"/>
  </mergeCells>
  <conditionalFormatting sqref="V4:V200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T4:T200">
    <cfRule type="cellIs" priority="6" operator="equal" aboveAverage="0" equalAverage="0" bottom="0" percent="0" rank="0" text="" dxfId="0">
      <formula>"End of Life"</formula>
    </cfRule>
    <cfRule type="cellIs" priority="7" operator="equal" aboveAverage="0" equalAverage="0" bottom="0" percent="0" rank="0" text="" dxfId="4">
      <formula>"Extended"</formula>
    </cfRule>
    <cfRule type="cellIs" priority="8" operator="equal" aboveAverage="0" equalAverage="0" bottom="0" percent="0" rank="0" text="" dxfId="3">
      <formula>"Active"</formula>
    </cfRule>
  </conditionalFormatting>
  <conditionalFormatting sqref="AE4:AE200">
    <cfRule type="cellIs" priority="9" operator="equal" aboveAverage="0" equalAverage="0" bottom="0" percent="0" rank="0" text="" dxfId="5">
      <formula>"Critical"</formula>
    </cfRule>
    <cfRule type="cellIs" priority="10" operator="equal" aboveAverage="0" equalAverage="0" bottom="0" percent="0" rank="0" text="" dxfId="0">
      <formula>"High"</formula>
    </cfRule>
  </conditionalFormatting>
  <conditionalFormatting sqref="AC4:AC200">
    <cfRule type="cellIs" priority="11" operator="equal" aboveAverage="0" equalAverage="0" bottom="0" percent="0" rank="0" text="" dxfId="6">
      <formula>"Yes"</formula>
    </cfRule>
  </conditionalFormatting>
  <dataValidations count="12">
    <dataValidation allowBlank="true" errorStyle="stop" operator="between" showDropDown="false" showErrorMessage="false" showInputMessage="false" sqref="C4:C200" type="list">
      <formula1>"PLC,RTU,DCS,HMI,EWS,SCADA Server,Historian,Switch,Router,Firewall,Safety PLC,Sensor/Field Device,Actuator,Drive/VFD,Remote Access Device,Other"</formula1>
      <formula2>0</formula2>
    </dataValidation>
    <dataValidation allowBlank="true" errorStyle="stop" operator="between" showDropDown="false" showErrorMessage="false" showInputMessage="false" sqref="D4:D200" type="list">
      <formula1>"0,1,2,3,4"</formula1>
      <formula2>0</formula2>
    </dataValidation>
    <dataValidation allowBlank="true" errorStyle="stop" operator="between" showDropDown="false" showErrorMessage="false" showInputMessage="false" sqref="T4:T200" type="list">
      <formula1>"Active,Extended,End of Life,Unknown"</formula1>
      <formula2>0</formula2>
    </dataValidation>
    <dataValidation allowBlank="true" errorStyle="stop" operator="between" showDropDown="false" showErrorMessage="false" showInputMessage="false" sqref="V4:V200" type="list">
      <formula1>"Critical,High,Medium,Low"</formula1>
      <formula2>0</formula2>
    </dataValidation>
    <dataValidation allowBlank="true" errorStyle="stop" operator="between" showDropDown="false" showErrorMessage="false" showInputMessage="false" sqref="AC4:AC200" type="list">
      <formula1>"Yes,No"</formula1>
      <formula2>0</formula2>
    </dataValidation>
    <dataValidation allowBlank="true" errorStyle="stop" operator="between" showDropDown="false" showErrorMessage="false" showInputMessage="false" sqref="AE4:AE200" type="list">
      <formula1>"Critical,High,Medium,Low,None,Unknown"</formula1>
      <formula2>0</formula2>
    </dataValidation>
    <dataValidation allowBlank="true" errorStyle="stop" operator="between" showDropDown="false" showErrorMessage="false" showInputMessage="false" sqref="AF4:AF200" type="list">
      <formula1>"Up to Date,Patches Available,Cannot Patch,Unknown"</formula1>
      <formula2>0</formula2>
    </dataValidation>
    <dataValidation allowBlank="true" errorStyle="stop" operator="between" showDropDown="false" showErrorMessage="false" showInputMessage="false" sqref="AH4:AH200" type="list">
      <formula1>"In Scope - Compliant,In Scope - Non-Compliant,Exempt,Unknown"</formula1>
      <formula2>0</formula2>
    </dataValidation>
    <dataValidation allowBlank="true" errorStyle="stop" operator="between" showDropDown="false" showErrorMessage="false" showInputMessage="false" sqref="AL4:AL200" type="list">
      <formula1>"Yes,No"</formula1>
      <formula2>0</formula2>
    </dataValidation>
    <dataValidation allowBlank="true" errorStyle="stop" operator="between" showDropDown="false" showErrorMessage="false" showInputMessage="false" sqref="AM4:AM200" type="list">
      <formula1>"SIL 1,SIL 2,SIL 3,SIL 4,N/A"</formula1>
      <formula2>0</formula2>
    </dataValidation>
    <dataValidation allowBlank="true" errorStyle="stop" operator="between" showDropDown="false" showErrorMessage="false" showInputMessage="false" sqref="AO4:AO200" type="list">
      <formula1>"Yes,No,Partial"</formula1>
      <formula2>0</formula2>
    </dataValidation>
    <dataValidation allowBlank="true" errorStyle="stop" operator="between" showDropDown="false" showErrorMessage="false" showInputMessage="false" sqref="AQ4:AQ200" type="list">
      <formula1>"Passive,Walkdown,Documentation,Vendor-provided,Passive+Walkdown,Passive+Documentation,All methods"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21.75" hidden="false" customHeight="true" outlineLevel="0" collapsed="false">
      <c r="A1" s="10" t="s">
        <v>435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30" hidden="false" customHeight="true" outlineLevel="0" collapsed="false">
      <c r="A2" s="21" t="s">
        <v>436</v>
      </c>
      <c r="B2" s="21" t="s">
        <v>437</v>
      </c>
      <c r="C2" s="21" t="s">
        <v>50</v>
      </c>
      <c r="D2" s="21" t="s">
        <v>438</v>
      </c>
      <c r="E2" s="21" t="s">
        <v>439</v>
      </c>
      <c r="F2" s="21" t="s">
        <v>440</v>
      </c>
      <c r="G2" s="21" t="s">
        <v>441</v>
      </c>
      <c r="H2" s="21" t="s">
        <v>442</v>
      </c>
      <c r="I2" s="21" t="s">
        <v>443</v>
      </c>
      <c r="J2" s="21" t="s">
        <v>444</v>
      </c>
      <c r="K2" s="21" t="s">
        <v>445</v>
      </c>
      <c r="L2" s="21" t="s">
        <v>446</v>
      </c>
      <c r="M2" s="21" t="s">
        <v>96</v>
      </c>
    </row>
    <row r="3" customFormat="false" ht="15.75" hidden="false" customHeight="true" outlineLevel="0" collapsed="false">
      <c r="A3" s="41" t="s">
        <v>447</v>
      </c>
      <c r="B3" s="41" t="s">
        <v>448</v>
      </c>
      <c r="C3" s="41" t="s">
        <v>394</v>
      </c>
      <c r="D3" s="41" t="s">
        <v>449</v>
      </c>
      <c r="E3" s="41" t="s">
        <v>450</v>
      </c>
      <c r="F3" s="41" t="s">
        <v>451</v>
      </c>
      <c r="G3" s="41" t="s">
        <v>452</v>
      </c>
      <c r="H3" s="41" t="s">
        <v>453</v>
      </c>
      <c r="I3" s="41" t="s">
        <v>454</v>
      </c>
      <c r="J3" s="41" t="s">
        <v>455</v>
      </c>
      <c r="K3" s="41" t="s">
        <v>175</v>
      </c>
      <c r="L3" s="41" t="s">
        <v>456</v>
      </c>
      <c r="M3" s="41" t="s">
        <v>457</v>
      </c>
    </row>
    <row r="4" customFormat="false" ht="15.75" hidden="false" customHeight="true" outlineLevel="0" collapsed="false">
      <c r="A4" s="42" t="s">
        <v>452</v>
      </c>
      <c r="B4" s="42" t="s">
        <v>458</v>
      </c>
      <c r="C4" s="42" t="s">
        <v>152</v>
      </c>
      <c r="D4" s="42" t="s">
        <v>459</v>
      </c>
      <c r="E4" s="42" t="s">
        <v>460</v>
      </c>
      <c r="F4" s="42" t="s">
        <v>461</v>
      </c>
      <c r="G4" s="42" t="s">
        <v>462</v>
      </c>
      <c r="H4" s="42" t="s">
        <v>362</v>
      </c>
      <c r="I4" s="42" t="s">
        <v>463</v>
      </c>
      <c r="J4" s="42" t="s">
        <v>464</v>
      </c>
      <c r="K4" s="42" t="s">
        <v>175</v>
      </c>
      <c r="L4" s="42" t="s">
        <v>465</v>
      </c>
      <c r="M4" s="42" t="s">
        <v>466</v>
      </c>
    </row>
    <row r="5" customFormat="false" ht="15.75" hidden="false" customHeight="true" outlineLevel="0" collapsed="false">
      <c r="A5" s="41" t="s">
        <v>462</v>
      </c>
      <c r="B5" s="41" t="s">
        <v>467</v>
      </c>
      <c r="C5" s="41" t="s">
        <v>197</v>
      </c>
      <c r="D5" s="41" t="s">
        <v>468</v>
      </c>
      <c r="E5" s="41" t="s">
        <v>469</v>
      </c>
      <c r="F5" s="41" t="s">
        <v>470</v>
      </c>
      <c r="G5" s="41" t="s">
        <v>471</v>
      </c>
      <c r="H5" s="41" t="s">
        <v>362</v>
      </c>
      <c r="I5" s="41" t="s">
        <v>472</v>
      </c>
      <c r="J5" s="41" t="s">
        <v>473</v>
      </c>
      <c r="K5" s="41" t="s">
        <v>175</v>
      </c>
      <c r="L5" s="41" t="s">
        <v>474</v>
      </c>
      <c r="M5" s="41" t="s">
        <v>475</v>
      </c>
    </row>
    <row r="6" customFormat="false" ht="15.75" hidden="false" customHeight="true" outlineLevel="0" collapsed="false">
      <c r="A6" s="42" t="s">
        <v>471</v>
      </c>
      <c r="B6" s="42" t="s">
        <v>476</v>
      </c>
      <c r="C6" s="42" t="s">
        <v>264</v>
      </c>
      <c r="D6" s="42" t="s">
        <v>477</v>
      </c>
      <c r="E6" s="42" t="s">
        <v>478</v>
      </c>
      <c r="F6" s="42" t="s">
        <v>479</v>
      </c>
      <c r="G6" s="42" t="s">
        <v>480</v>
      </c>
      <c r="H6" s="42" t="s">
        <v>362</v>
      </c>
      <c r="I6" s="42" t="s">
        <v>481</v>
      </c>
      <c r="J6" s="42" t="s">
        <v>482</v>
      </c>
      <c r="K6" s="42" t="s">
        <v>483</v>
      </c>
      <c r="L6" s="42" t="s">
        <v>484</v>
      </c>
      <c r="M6" s="42" t="s">
        <v>485</v>
      </c>
    </row>
    <row r="7" customFormat="false" ht="15.75" hidden="false" customHeight="true" outlineLevel="0" collapsed="false">
      <c r="A7" s="41" t="s">
        <v>480</v>
      </c>
      <c r="B7" s="41" t="s">
        <v>486</v>
      </c>
      <c r="C7" s="41" t="s">
        <v>152</v>
      </c>
      <c r="D7" s="41" t="s">
        <v>474</v>
      </c>
      <c r="E7" s="41" t="s">
        <v>487</v>
      </c>
      <c r="F7" s="41" t="s">
        <v>488</v>
      </c>
      <c r="G7" s="41" t="s">
        <v>452</v>
      </c>
      <c r="H7" s="41" t="s">
        <v>362</v>
      </c>
      <c r="I7" s="41" t="s">
        <v>489</v>
      </c>
      <c r="J7" s="41" t="s">
        <v>337</v>
      </c>
      <c r="K7" s="41" t="s">
        <v>175</v>
      </c>
      <c r="L7" s="41" t="s">
        <v>264</v>
      </c>
      <c r="M7" s="41" t="s">
        <v>490</v>
      </c>
    </row>
    <row r="8" customFormat="false" ht="15.75" hidden="false" customHeight="true" outlineLevel="0" collapsed="false">
      <c r="A8" s="42" t="s">
        <v>491</v>
      </c>
      <c r="B8" s="42" t="s">
        <v>383</v>
      </c>
      <c r="C8" s="42" t="s">
        <v>264</v>
      </c>
      <c r="D8" s="42" t="s">
        <v>492</v>
      </c>
      <c r="E8" s="42" t="s">
        <v>493</v>
      </c>
      <c r="F8" s="42" t="s">
        <v>494</v>
      </c>
      <c r="G8" s="42" t="s">
        <v>495</v>
      </c>
      <c r="H8" s="42" t="s">
        <v>362</v>
      </c>
      <c r="I8" s="42" t="s">
        <v>496</v>
      </c>
      <c r="J8" s="42" t="s">
        <v>384</v>
      </c>
      <c r="K8" s="42" t="s">
        <v>380</v>
      </c>
      <c r="L8" s="42" t="s">
        <v>152</v>
      </c>
      <c r="M8" s="42" t="s">
        <v>497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3C0C"/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40"/>
  </cols>
  <sheetData>
    <row r="1" customFormat="false" ht="21.75" hidden="false" customHeight="true" outlineLevel="0" collapsed="false">
      <c r="A1" s="14" t="s">
        <v>498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30" hidden="false" customHeight="true" outlineLevel="0" collapsed="false">
      <c r="A2" s="22" t="s">
        <v>47</v>
      </c>
      <c r="B2" s="22" t="s">
        <v>499</v>
      </c>
      <c r="C2" s="22" t="s">
        <v>49</v>
      </c>
      <c r="D2" s="22" t="s">
        <v>500</v>
      </c>
      <c r="E2" s="22" t="s">
        <v>501</v>
      </c>
      <c r="F2" s="22" t="s">
        <v>502</v>
      </c>
      <c r="G2" s="22" t="s">
        <v>503</v>
      </c>
      <c r="H2" s="22" t="s">
        <v>504</v>
      </c>
      <c r="I2" s="22" t="s">
        <v>505</v>
      </c>
      <c r="J2" s="22" t="s">
        <v>506</v>
      </c>
      <c r="K2" s="22" t="s">
        <v>507</v>
      </c>
      <c r="L2" s="22" t="s">
        <v>508</v>
      </c>
      <c r="M2" s="22" t="s">
        <v>509</v>
      </c>
    </row>
    <row r="3" customFormat="false" ht="30" hidden="false" customHeight="true" outlineLevel="0" collapsed="false">
      <c r="A3" s="43" t="s">
        <v>510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customFormat="false" ht="18" hidden="false" customHeight="true" outlineLevel="0" collapsed="false">
      <c r="A4" s="44" t="str">
        <f aca="false">'🖥 Asset Register'!A4</f>
        <v>AST-001</v>
      </c>
      <c r="B4" s="44" t="str">
        <f aca="false">'🖥 Asset Register'!B4</f>
        <v>Boiler Feed PLC</v>
      </c>
      <c r="C4" s="44" t="str">
        <f aca="false">'🖥 Asset Register'!C4</f>
        <v>PLC</v>
      </c>
      <c r="D4" s="44" t="str">
        <f aca="false">'🖥 Asset Register'!D4</f>
        <v>1</v>
      </c>
      <c r="E4" s="44" t="str">
        <f aca="false">'🖥 Asset Register'!V4</f>
        <v>Critical</v>
      </c>
      <c r="F4" s="44" t="str">
        <f aca="false">IF('🖥 Asset Register'!T4="End of Life","🔴 EOL",IF('🖥 Asset Register'!T4="Unknown","❓ Unknown","✅ OK"))</f>
        <v>🔴 EOL</v>
      </c>
      <c r="G4" s="44" t="str">
        <f aca="false">IF(OR('🖥 Asset Register'!AE4="Critical",'🖥 Asset Register'!AE4="High"),"🔴 HIGH CVE",IF('🖥 Asset Register'!AE4="Medium","🟡 MED CVE",IF('🖥 Asset Register'!AE4="None","✅ OK","❓ Unknown")))</f>
        <v>❓ Unknown</v>
      </c>
      <c r="H4" s="44" t="str">
        <f aca="false">IF('🖥 Asset Register'!AF4="Patches Available","🔴 Unpatched",IF('🖥 Asset Register'!AF4="Cannot Patch","🔴 Cannot Patch",IF('🖥 Asset Register'!AF4="Up to Date","✅ OK","❓ Unknown")))</f>
        <v>❓ Unknown</v>
      </c>
      <c r="I4" s="44" t="str">
        <f aca="false">IF('🖥 Asset Register'!AC4="Yes","🔴 Remote Access","✅ No Remote")</f>
        <v>✅ No Remote</v>
      </c>
      <c r="J4" s="44" t="str">
        <f aca="false">IF(ISNUMBER(SEARCH("undocumented",'🖥 Asset Register'!AW4)),"🔴 UNDOCUMENTED","✅ Documented")</f>
        <v>✅ Documented</v>
      </c>
      <c r="K4" s="45" t="n">
        <f aca="false">MIN(10,(IF('🖥 Asset Register'!V4="Critical",4,IF('🖥 Asset Register'!V4="High",3,IF('🖥 Asset Register'!V4="Medium",2,1)))+IF('🖥 Asset Register'!T4="End of Life",2,IF('🖥 Asset Register'!T4="Extended",1,0))+IF(OR('🖥 Asset Register'!AE4="Critical",'🖥 Asset Register'!AE4="High"),2,IF('🖥 Asset Register'!AE4="Medium",1,0))+IF('🖥 Asset Register'!AF4="Patches Available",1,IF('🖥 Asset Register'!AF4="Cannot Patch",2,0))+IF('🖥 Asset Register'!AC4="Yes",1,0)))</f>
        <v>6</v>
      </c>
      <c r="L4" s="44" t="str">
        <f aca="false">IF(K4&gt;=8,"P1 - CRITICAL",IF(K4&gt;=6,"P2 - HIGH",IF(K4&gt;=4,"P3 - MEDIUM","P4 - LOW")))</f>
        <v>P2 - HIGH</v>
      </c>
      <c r="M4" s="44" t="str">
        <f aca="false">IF(K4&gt;=8,"IMMEDIATE ACTION: Isolate/remediate before Phase 1",IF(K4&gt;=6,"HIGH: Schedule remediation within 30 days",IF(K4&gt;=4,"MEDIUM: Include in migration roadmap","LOW: Monitor — standard review cycle")))</f>
        <v>HIGH: Schedule remediation within 30 days</v>
      </c>
    </row>
    <row r="5" customFormat="false" ht="18" hidden="false" customHeight="true" outlineLevel="0" collapsed="false">
      <c r="A5" s="46" t="str">
        <f aca="false">'🖥 Asset Register'!A5</f>
        <v>AST-002</v>
      </c>
      <c r="B5" s="46" t="str">
        <f aca="false">'🖥 Asset Register'!B5</f>
        <v>Boiler HMI Station</v>
      </c>
      <c r="C5" s="46" t="str">
        <f aca="false">'🖥 Asset Register'!C5</f>
        <v>HMI</v>
      </c>
      <c r="D5" s="46" t="str">
        <f aca="false">'🖥 Asset Register'!D5</f>
        <v>2</v>
      </c>
      <c r="E5" s="46" t="str">
        <f aca="false">'🖥 Asset Register'!V5</f>
        <v>High</v>
      </c>
      <c r="F5" s="46" t="str">
        <f aca="false">IF('🖥 Asset Register'!T5="End of Life","🔴 EOL",IF('🖥 Asset Register'!T5="Unknown","❓ Unknown","✅ OK"))</f>
        <v>✅ OK</v>
      </c>
      <c r="G5" s="46" t="str">
        <f aca="false">IF(OR('🖥 Asset Register'!AE5="Critical",'🖥 Asset Register'!AE5="High"),"🔴 HIGH CVE",IF('🖥 Asset Register'!AE5="Medium","🟡 MED CVE",IF('🖥 Asset Register'!AE5="None","✅ OK","❓ Unknown")))</f>
        <v>❓ Unknown</v>
      </c>
      <c r="H5" s="46" t="str">
        <f aca="false">IF('🖥 Asset Register'!AF5="Patches Available","🔴 Unpatched",IF('🖥 Asset Register'!AF5="Cannot Patch","🔴 Cannot Patch",IF('🖥 Asset Register'!AF5="Up to Date","✅ OK","❓ Unknown")))</f>
        <v>❓ Unknown</v>
      </c>
      <c r="I5" s="46" t="str">
        <f aca="false">IF('🖥 Asset Register'!AC5="Yes","🔴 Remote Access","✅ No Remote")</f>
        <v>✅ No Remote</v>
      </c>
      <c r="J5" s="46" t="str">
        <f aca="false">IF(ISNUMBER(SEARCH("undocumented",'🖥 Asset Register'!AW5)),"🔴 UNDOCUMENTED","✅ Documented")</f>
        <v>✅ Documented</v>
      </c>
      <c r="K5" s="47" t="n">
        <f aca="false">MIN(10,(IF('🖥 Asset Register'!V5="Critical",4,IF('🖥 Asset Register'!V5="High",3,IF('🖥 Asset Register'!V5="Medium",2,1)))+IF('🖥 Asset Register'!T5="End of Life",2,IF('🖥 Asset Register'!T5="Extended",1,0))+IF(OR('🖥 Asset Register'!AE5="Critical",'🖥 Asset Register'!AE5="High"),2,IF('🖥 Asset Register'!AE5="Medium",1,0))+IF('🖥 Asset Register'!AF5="Patches Available",1,IF('🖥 Asset Register'!AF5="Cannot Patch",2,0))+IF('🖥 Asset Register'!AC5="Yes",1,0)))</f>
        <v>3</v>
      </c>
      <c r="L5" s="46" t="str">
        <f aca="false">IF(K5&gt;=8,"P1 - CRITICAL",IF(K5&gt;=6,"P2 - HIGH",IF(K5&gt;=4,"P3 - MEDIUM","P4 - LOW")))</f>
        <v>P4 - LOW</v>
      </c>
      <c r="M5" s="46" t="str">
        <f aca="false">IF(K5&gt;=8,"IMMEDIATE ACTION: Isolate/remediate before Phase 1",IF(K5&gt;=6,"HIGH: Schedule remediation within 30 days",IF(K5&gt;=4,"MEDIUM: Include in migration roadmap","LOW: Monitor — standard review cycle")))</f>
        <v>LOW: Monitor — standard review cycle</v>
      </c>
    </row>
    <row r="6" customFormat="false" ht="18" hidden="false" customHeight="true" outlineLevel="0" collapsed="false">
      <c r="A6" s="44" t="str">
        <f aca="false">'🖥 Asset Register'!A6</f>
        <v>AST-003</v>
      </c>
      <c r="B6" s="44" t="str">
        <f aca="false">'🖥 Asset Register'!B6</f>
        <v>Water Treatment RTU</v>
      </c>
      <c r="C6" s="44" t="str">
        <f aca="false">'🖥 Asset Register'!C6</f>
        <v>RTU</v>
      </c>
      <c r="D6" s="44" t="str">
        <f aca="false">'🖥 Asset Register'!D6</f>
        <v>1</v>
      </c>
      <c r="E6" s="44" t="str">
        <f aca="false">'🖥 Asset Register'!V6</f>
        <v>Critical</v>
      </c>
      <c r="F6" s="44" t="str">
        <f aca="false">IF('🖥 Asset Register'!T6="End of Life","🔴 EOL",IF('🖥 Asset Register'!T6="Unknown","❓ Unknown","✅ OK"))</f>
        <v>✅ OK</v>
      </c>
      <c r="G6" s="44" t="str">
        <f aca="false">IF(OR('🖥 Asset Register'!AE6="Critical",'🖥 Asset Register'!AE6="High"),"🔴 HIGH CVE",IF('🖥 Asset Register'!AE6="Medium","🟡 MED CVE",IF('🖥 Asset Register'!AE6="None","✅ OK","❓ Unknown")))</f>
        <v>❓ Unknown</v>
      </c>
      <c r="H6" s="44" t="str">
        <f aca="false">IF('🖥 Asset Register'!AF6="Patches Available","🔴 Unpatched",IF('🖥 Asset Register'!AF6="Cannot Patch","🔴 Cannot Patch",IF('🖥 Asset Register'!AF6="Up to Date","✅ OK","❓ Unknown")))</f>
        <v>❓ Unknown</v>
      </c>
      <c r="I6" s="44" t="str">
        <f aca="false">IF('🖥 Asset Register'!AC6="Yes","🔴 Remote Access","✅ No Remote")</f>
        <v>✅ No Remote</v>
      </c>
      <c r="J6" s="44" t="str">
        <f aca="false">IF(ISNUMBER(SEARCH("undocumented",'🖥 Asset Register'!AW6)),"🔴 UNDOCUMENTED","✅ Documented")</f>
        <v>✅ Documented</v>
      </c>
      <c r="K6" s="45" t="n">
        <f aca="false">MIN(10,(IF('🖥 Asset Register'!V6="Critical",4,IF('🖥 Asset Register'!V6="High",3,IF('🖥 Asset Register'!V6="Medium",2,1)))+IF('🖥 Asset Register'!T6="End of Life",2,IF('🖥 Asset Register'!T6="Extended",1,0))+IF(OR('🖥 Asset Register'!AE6="Critical",'🖥 Asset Register'!AE6="High"),2,IF('🖥 Asset Register'!AE6="Medium",1,0))+IF('🖥 Asset Register'!AF6="Patches Available",1,IF('🖥 Asset Register'!AF6="Cannot Patch",2,0))+IF('🖥 Asset Register'!AC6="Yes",1,0)))</f>
        <v>5</v>
      </c>
      <c r="L6" s="44" t="str">
        <f aca="false">IF(K6&gt;=8,"P1 - CRITICAL",IF(K6&gt;=6,"P2 - HIGH",IF(K6&gt;=4,"P3 - MEDIUM","P4 - LOW")))</f>
        <v>P3 - MEDIUM</v>
      </c>
      <c r="M6" s="44" t="str">
        <f aca="false">IF(K6&gt;=8,"IMMEDIATE ACTION: Isolate/remediate before Phase 1",IF(K6&gt;=6,"HIGH: Schedule remediation within 30 days",IF(K6&gt;=4,"MEDIUM: Include in migration roadmap","LOW: Monitor — standard review cycle")))</f>
        <v>MEDIUM: Include in migration roadmap</v>
      </c>
    </row>
    <row r="7" customFormat="false" ht="18" hidden="false" customHeight="true" outlineLevel="0" collapsed="false">
      <c r="A7" s="46" t="str">
        <f aca="false">'🖥 Asset Register'!A7</f>
        <v>AST-004</v>
      </c>
      <c r="B7" s="46" t="str">
        <f aca="false">'🖥 Asset Register'!B7</f>
        <v>SCADA Server Primary</v>
      </c>
      <c r="C7" s="46" t="str">
        <f aca="false">'🖥 Asset Register'!C7</f>
        <v>EWS/SCADA</v>
      </c>
      <c r="D7" s="46" t="str">
        <f aca="false">'🖥 Asset Register'!D7</f>
        <v>3</v>
      </c>
      <c r="E7" s="46" t="str">
        <f aca="false">'🖥 Asset Register'!V7</f>
        <v>Critical</v>
      </c>
      <c r="F7" s="46" t="str">
        <f aca="false">IF('🖥 Asset Register'!T7="End of Life","🔴 EOL",IF('🖥 Asset Register'!T7="Unknown","❓ Unknown","✅ OK"))</f>
        <v>✅ OK</v>
      </c>
      <c r="G7" s="46" t="str">
        <f aca="false">IF(OR('🖥 Asset Register'!AE7="Critical",'🖥 Asset Register'!AE7="High"),"🔴 HIGH CVE",IF('🖥 Asset Register'!AE7="Medium","🟡 MED CVE",IF('🖥 Asset Register'!AE7="None","✅ OK","❓ Unknown")))</f>
        <v>❓ Unknown</v>
      </c>
      <c r="H7" s="46" t="str">
        <f aca="false">IF('🖥 Asset Register'!AF7="Patches Available","🔴 Unpatched",IF('🖥 Asset Register'!AF7="Cannot Patch","🔴 Cannot Patch",IF('🖥 Asset Register'!AF7="Up to Date","✅ OK","❓ Unknown")))</f>
        <v>❓ Unknown</v>
      </c>
      <c r="I7" s="46" t="str">
        <f aca="false">IF('🖥 Asset Register'!AC7="Yes","🔴 Remote Access","✅ No Remote")</f>
        <v>🔴 Remote Access</v>
      </c>
      <c r="J7" s="46" t="str">
        <f aca="false">IF(ISNUMBER(SEARCH("undocumented",'🖥 Asset Register'!AW7)),"🔴 UNDOCUMENTED","✅ Documented")</f>
        <v>✅ Documented</v>
      </c>
      <c r="K7" s="47" t="n">
        <f aca="false">MIN(10,(IF('🖥 Asset Register'!V7="Critical",4,IF('🖥 Asset Register'!V7="High",3,IF('🖥 Asset Register'!V7="Medium",2,1)))+IF('🖥 Asset Register'!T7="End of Life",2,IF('🖥 Asset Register'!T7="Extended",1,0))+IF(OR('🖥 Asset Register'!AE7="Critical",'🖥 Asset Register'!AE7="High"),2,IF('🖥 Asset Register'!AE7="Medium",1,0))+IF('🖥 Asset Register'!AF7="Patches Available",1,IF('🖥 Asset Register'!AF7="Cannot Patch",2,0))+IF('🖥 Asset Register'!AC7="Yes",1,0)))</f>
        <v>5</v>
      </c>
      <c r="L7" s="46" t="str">
        <f aca="false">IF(K7&gt;=8,"P1 - CRITICAL",IF(K7&gt;=6,"P2 - HIGH",IF(K7&gt;=4,"P3 - MEDIUM","P4 - LOW")))</f>
        <v>P3 - MEDIUM</v>
      </c>
      <c r="M7" s="46" t="str">
        <f aca="false">IF(K7&gt;=8,"IMMEDIATE ACTION: Isolate/remediate before Phase 1",IF(K7&gt;=6,"HIGH: Schedule remediation within 30 days",IF(K7&gt;=4,"MEDIUM: Include in migration roadmap","LOW: Monitor — standard review cycle")))</f>
        <v>MEDIUM: Include in migration roadmap</v>
      </c>
    </row>
    <row r="8" customFormat="false" ht="18" hidden="false" customHeight="true" outlineLevel="0" collapsed="false">
      <c r="A8" s="44" t="str">
        <f aca="false">'🖥 Asset Register'!A8</f>
        <v>AST-005</v>
      </c>
      <c r="B8" s="44" t="str">
        <f aca="false">'🖥 Asset Register'!B8</f>
        <v>SCADA Historian</v>
      </c>
      <c r="C8" s="44" t="str">
        <f aca="false">'🖥 Asset Register'!C8</f>
        <v>Historian</v>
      </c>
      <c r="D8" s="44" t="str">
        <f aca="false">'🖥 Asset Register'!D8</f>
        <v>3</v>
      </c>
      <c r="E8" s="44" t="str">
        <f aca="false">'🖥 Asset Register'!V8</f>
        <v>High</v>
      </c>
      <c r="F8" s="44" t="str">
        <f aca="false">IF('🖥 Asset Register'!T8="End of Life","🔴 EOL",IF('🖥 Asset Register'!T8="Unknown","❓ Unknown","✅ OK"))</f>
        <v>✅ OK</v>
      </c>
      <c r="G8" s="44" t="str">
        <f aca="false">IF(OR('🖥 Asset Register'!AE8="Critical",'🖥 Asset Register'!AE8="High"),"🔴 HIGH CVE",IF('🖥 Asset Register'!AE8="Medium","🟡 MED CVE",IF('🖥 Asset Register'!AE8="None","✅ OK","❓ Unknown")))</f>
        <v>❓ Unknown</v>
      </c>
      <c r="H8" s="44" t="str">
        <f aca="false">IF('🖥 Asset Register'!AF8="Patches Available","🔴 Unpatched",IF('🖥 Asset Register'!AF8="Cannot Patch","🔴 Cannot Patch",IF('🖥 Asset Register'!AF8="Up to Date","✅ OK","❓ Unknown")))</f>
        <v>❓ Unknown</v>
      </c>
      <c r="I8" s="44" t="str">
        <f aca="false">IF('🖥 Asset Register'!AC8="Yes","🔴 Remote Access","✅ No Remote")</f>
        <v>✅ No Remote</v>
      </c>
      <c r="J8" s="44" t="str">
        <f aca="false">IF(ISNUMBER(SEARCH("undocumented",'🖥 Asset Register'!AW8)),"🔴 UNDOCUMENTED","✅ Documented")</f>
        <v>✅ Documented</v>
      </c>
      <c r="K8" s="45" t="n">
        <f aca="false">MIN(10,(IF('🖥 Asset Register'!V8="Critical",4,IF('🖥 Asset Register'!V8="High",3,IF('🖥 Asset Register'!V8="Medium",2,1)))+IF('🖥 Asset Register'!T8="End of Life",2,IF('🖥 Asset Register'!T8="Extended",1,0))+IF(OR('🖥 Asset Register'!AE8="Critical",'🖥 Asset Register'!AE8="High"),2,IF('🖥 Asset Register'!AE8="Medium",1,0))+IF('🖥 Asset Register'!AF8="Patches Available",1,IF('🖥 Asset Register'!AF8="Cannot Patch",2,0))+IF('🖥 Asset Register'!AC8="Yes",1,0)))</f>
        <v>3</v>
      </c>
      <c r="L8" s="44" t="str">
        <f aca="false">IF(K8&gt;=8,"P1 - CRITICAL",IF(K8&gt;=6,"P2 - HIGH",IF(K8&gt;=4,"P3 - MEDIUM","P4 - LOW")))</f>
        <v>P4 - LOW</v>
      </c>
      <c r="M8" s="44" t="str">
        <f aca="false">IF(K8&gt;=8,"IMMEDIATE ACTION: Isolate/remediate before Phase 1",IF(K8&gt;=6,"HIGH: Schedule remediation within 30 days",IF(K8&gt;=4,"MEDIUM: Include in migration roadmap","LOW: Monitor — standard review cycle")))</f>
        <v>LOW: Monitor — standard review cycle</v>
      </c>
    </row>
    <row r="9" customFormat="false" ht="18" hidden="false" customHeight="true" outlineLevel="0" collapsed="false">
      <c r="A9" s="46" t="str">
        <f aca="false">'🖥 Asset Register'!A9</f>
        <v>AST-006</v>
      </c>
      <c r="B9" s="46" t="str">
        <f aca="false">'🖥 Asset Register'!B9</f>
        <v>Safety PLC — Burner</v>
      </c>
      <c r="C9" s="46" t="str">
        <f aca="false">'🖥 Asset Register'!C9</f>
        <v>Safety PLC</v>
      </c>
      <c r="D9" s="46" t="str">
        <f aca="false">'🖥 Asset Register'!D9</f>
        <v>1</v>
      </c>
      <c r="E9" s="46" t="str">
        <f aca="false">'🖥 Asset Register'!V9</f>
        <v>Critical</v>
      </c>
      <c r="F9" s="46" t="str">
        <f aca="false">IF('🖥 Asset Register'!T9="End of Life","🔴 EOL",IF('🖥 Asset Register'!T9="Unknown","❓ Unknown","✅ OK"))</f>
        <v>✅ OK</v>
      </c>
      <c r="G9" s="46" t="str">
        <f aca="false">IF(OR('🖥 Asset Register'!AE9="Critical",'🖥 Asset Register'!AE9="High"),"🔴 HIGH CVE",IF('🖥 Asset Register'!AE9="Medium","🟡 MED CVE",IF('🖥 Asset Register'!AE9="None","✅ OK","❓ Unknown")))</f>
        <v>❓ Unknown</v>
      </c>
      <c r="H9" s="46" t="str">
        <f aca="false">IF('🖥 Asset Register'!AF9="Patches Available","🔴 Unpatched",IF('🖥 Asset Register'!AF9="Cannot Patch","🔴 Cannot Patch",IF('🖥 Asset Register'!AF9="Up to Date","✅ OK","❓ Unknown")))</f>
        <v>❓ Unknown</v>
      </c>
      <c r="I9" s="46" t="str">
        <f aca="false">IF('🖥 Asset Register'!AC9="Yes","🔴 Remote Access","✅ No Remote")</f>
        <v>✅ No Remote</v>
      </c>
      <c r="J9" s="46" t="str">
        <f aca="false">IF(ISNUMBER(SEARCH("undocumented",'🖥 Asset Register'!AW9)),"🔴 UNDOCUMENTED","✅ Documented")</f>
        <v>✅ Documented</v>
      </c>
      <c r="K9" s="47" t="n">
        <f aca="false">MIN(10,(IF('🖥 Asset Register'!V9="Critical",4,IF('🖥 Asset Register'!V9="High",3,IF('🖥 Asset Register'!V9="Medium",2,1)))+IF('🖥 Asset Register'!T9="End of Life",2,IF('🖥 Asset Register'!T9="Extended",1,0))+IF(OR('🖥 Asset Register'!AE9="Critical",'🖥 Asset Register'!AE9="High"),2,IF('🖥 Asset Register'!AE9="Medium",1,0))+IF('🖥 Asset Register'!AF9="Patches Available",1,IF('🖥 Asset Register'!AF9="Cannot Patch",2,0))+IF('🖥 Asset Register'!AC9="Yes",1,0)))</f>
        <v>4</v>
      </c>
      <c r="L9" s="46" t="str">
        <f aca="false">IF(K9&gt;=8,"P1 - CRITICAL",IF(K9&gt;=6,"P2 - HIGH",IF(K9&gt;=4,"P3 - MEDIUM","P4 - LOW")))</f>
        <v>P3 - MEDIUM</v>
      </c>
      <c r="M9" s="46" t="str">
        <f aca="false">IF(K9&gt;=8,"IMMEDIATE ACTION: Isolate/remediate before Phase 1",IF(K9&gt;=6,"HIGH: Schedule remediation within 30 days",IF(K9&gt;=4,"MEDIUM: Include in migration roadmap","LOW: Monitor — standard review cycle")))</f>
        <v>MEDIUM: Include in migration roadmap</v>
      </c>
    </row>
    <row r="10" customFormat="false" ht="18" hidden="false" customHeight="true" outlineLevel="0" collapsed="false">
      <c r="A10" s="44" t="str">
        <f aca="false">'🖥 Asset Register'!A10</f>
        <v>AST-007</v>
      </c>
      <c r="B10" s="44" t="str">
        <f aca="false">'🖥 Asset Register'!B10</f>
        <v>OT Core Switch</v>
      </c>
      <c r="C10" s="44" t="str">
        <f aca="false">'🖥 Asset Register'!C10</f>
        <v>Switch</v>
      </c>
      <c r="D10" s="44" t="str">
        <f aca="false">'🖥 Asset Register'!D10</f>
        <v>1</v>
      </c>
      <c r="E10" s="44" t="str">
        <f aca="false">'🖥 Asset Register'!V10</f>
        <v>High</v>
      </c>
      <c r="F10" s="44" t="str">
        <f aca="false">IF('🖥 Asset Register'!T10="End of Life","🔴 EOL",IF('🖥 Asset Register'!T10="Unknown","❓ Unknown","✅ OK"))</f>
        <v>✅ OK</v>
      </c>
      <c r="G10" s="44" t="str">
        <f aca="false">IF(OR('🖥 Asset Register'!AE10="Critical",'🖥 Asset Register'!AE10="High"),"🔴 HIGH CVE",IF('🖥 Asset Register'!AE10="Medium","🟡 MED CVE",IF('🖥 Asset Register'!AE10="None","✅ OK","❓ Unknown")))</f>
        <v>❓ Unknown</v>
      </c>
      <c r="H10" s="44" t="str">
        <f aca="false">IF('🖥 Asset Register'!AF10="Patches Available","🔴 Unpatched",IF('🖥 Asset Register'!AF10="Cannot Patch","🔴 Cannot Patch",IF('🖥 Asset Register'!AF10="Up to Date","✅ OK","❓ Unknown")))</f>
        <v>❓ Unknown</v>
      </c>
      <c r="I10" s="44" t="str">
        <f aca="false">IF('🖥 Asset Register'!AC10="Yes","🔴 Remote Access","✅ No Remote")</f>
        <v>✅ No Remote</v>
      </c>
      <c r="J10" s="44" t="str">
        <f aca="false">IF(ISNUMBER(SEARCH("undocumented",'🖥 Asset Register'!AW10)),"🔴 UNDOCUMENTED","✅ Documented")</f>
        <v>✅ Documented</v>
      </c>
      <c r="K10" s="45" t="n">
        <f aca="false">MIN(10,(IF('🖥 Asset Register'!V10="Critical",4,IF('🖥 Asset Register'!V10="High",3,IF('🖥 Asset Register'!V10="Medium",2,1)))+IF('🖥 Asset Register'!T10="End of Life",2,IF('🖥 Asset Register'!T10="Extended",1,0))+IF(OR('🖥 Asset Register'!AE10="Critical",'🖥 Asset Register'!AE10="High"),2,IF('🖥 Asset Register'!AE10="Medium",1,0))+IF('🖥 Asset Register'!AF10="Patches Available",1,IF('🖥 Asset Register'!AF10="Cannot Patch",2,0))+IF('🖥 Asset Register'!AC10="Yes",1,0)))</f>
        <v>3</v>
      </c>
      <c r="L10" s="44" t="str">
        <f aca="false">IF(K10&gt;=8,"P1 - CRITICAL",IF(K10&gt;=6,"P2 - HIGH",IF(K10&gt;=4,"P3 - MEDIUM","P4 - LOW")))</f>
        <v>P4 - LOW</v>
      </c>
      <c r="M10" s="44" t="str">
        <f aca="false">IF(K10&gt;=8,"IMMEDIATE ACTION: Isolate/remediate before Phase 1",IF(K10&gt;=6,"HIGH: Schedule remediation within 30 days",IF(K10&gt;=4,"MEDIUM: Include in migration roadmap","LOW: Monitor — standard review cycle")))</f>
        <v>LOW: Monitor — standard review cycle</v>
      </c>
    </row>
    <row r="11" customFormat="false" ht="18" hidden="false" customHeight="true" outlineLevel="0" collapsed="false">
      <c r="A11" s="46" t="str">
        <f aca="false">'🖥 Asset Register'!A11</f>
        <v>AST-008</v>
      </c>
      <c r="B11" s="46" t="str">
        <f aca="false">'🖥 Asset Register'!B11</f>
        <v>Undocumented Cellular Modem</v>
      </c>
      <c r="C11" s="46" t="str">
        <f aca="false">'🖥 Asset Register'!C11</f>
        <v>Remote Access Device</v>
      </c>
      <c r="D11" s="46" t="str">
        <f aca="false">'🖥 Asset Register'!D11</f>
        <v>3</v>
      </c>
      <c r="E11" s="46" t="str">
        <f aca="false">'🖥 Asset Register'!V11</f>
        <v>Critical</v>
      </c>
      <c r="F11" s="46" t="str">
        <f aca="false">IF('🖥 Asset Register'!T11="End of Life","🔴 EOL",IF('🖥 Asset Register'!T11="Unknown","❓ Unknown","✅ OK"))</f>
        <v>❓ Unknown</v>
      </c>
      <c r="G11" s="46" t="str">
        <f aca="false">IF(OR('🖥 Asset Register'!AE11="Critical",'🖥 Asset Register'!AE11="High"),"🔴 HIGH CVE",IF('🖥 Asset Register'!AE11="Medium","🟡 MED CVE",IF('🖥 Asset Register'!AE11="None","✅ OK","❓ Unknown")))</f>
        <v>❓ Unknown</v>
      </c>
      <c r="H11" s="46" t="str">
        <f aca="false">IF('🖥 Asset Register'!AF11="Patches Available","🔴 Unpatched",IF('🖥 Asset Register'!AF11="Cannot Patch","🔴 Cannot Patch",IF('🖥 Asset Register'!AF11="Up to Date","✅ OK","❓ Unknown")))</f>
        <v>❓ Unknown</v>
      </c>
      <c r="I11" s="46" t="str">
        <f aca="false">IF('🖥 Asset Register'!AC11="Yes","🔴 Remote Access","✅ No Remote")</f>
        <v>🔴 Remote Access</v>
      </c>
      <c r="J11" s="46" t="str">
        <f aca="false">IF(ISNUMBER(SEARCH("undocumented",'🖥 Asset Register'!AW11)),"🔴 UNDOCUMENTED","✅ Documented")</f>
        <v>✅ Documented</v>
      </c>
      <c r="K11" s="47" t="n">
        <f aca="false">MIN(10,(IF('🖥 Asset Register'!V11="Critical",4,IF('🖥 Asset Register'!V11="High",3,IF('🖥 Asset Register'!V11="Medium",2,1)))+IF('🖥 Asset Register'!T11="End of Life",2,IF('🖥 Asset Register'!T11="Extended",1,0))+IF(OR('🖥 Asset Register'!AE11="Critical",'🖥 Asset Register'!AE11="High"),2,IF('🖥 Asset Register'!AE11="Medium",1,0))+IF('🖥 Asset Register'!AF11="Patches Available",1,IF('🖥 Asset Register'!AF11="Cannot Patch",2,0))+IF('🖥 Asset Register'!AC11="Yes",1,0)))</f>
        <v>5</v>
      </c>
      <c r="L11" s="46" t="str">
        <f aca="false">IF(K11&gt;=8,"P1 - CRITICAL",IF(K11&gt;=6,"P2 - HIGH",IF(K11&gt;=4,"P3 - MEDIUM","P4 - LOW")))</f>
        <v>P3 - MEDIUM</v>
      </c>
      <c r="M11" s="46" t="str">
        <f aca="false">IF(K11&gt;=8,"IMMEDIATE ACTION: Isolate/remediate before Phase 1",IF(K11&gt;=6,"HIGH: Schedule remediation within 30 days",IF(K11&gt;=4,"MEDIUM: Include in migration roadmap","LOW: Monitor — standard review cycle")))</f>
        <v>MEDIUM: Include in migration roadmap</v>
      </c>
    </row>
    <row r="12" customFormat="false" ht="18" hidden="false" customHeight="true" outlineLevel="0" collapsed="false">
      <c r="A12" s="44" t="str">
        <f aca="false">'🖥 Asset Register'!A12</f>
        <v>AST-009</v>
      </c>
      <c r="B12" s="44" t="str">
        <f aca="false">'🖥 Asset Register'!B12</f>
        <v>Flow Transmitter FT-201</v>
      </c>
      <c r="C12" s="44" t="str">
        <f aca="false">'🖥 Asset Register'!C12</f>
        <v>Sensor/Field Device</v>
      </c>
      <c r="D12" s="44" t="str">
        <f aca="false">'🖥 Asset Register'!D12</f>
        <v>0</v>
      </c>
      <c r="E12" s="44" t="str">
        <f aca="false">'🖥 Asset Register'!V12</f>
        <v>Medium</v>
      </c>
      <c r="F12" s="44" t="str">
        <f aca="false">IF('🖥 Asset Register'!T12="End of Life","🔴 EOL",IF('🖥 Asset Register'!T12="Unknown","❓ Unknown","✅ OK"))</f>
        <v>✅ OK</v>
      </c>
      <c r="G12" s="44" t="str">
        <f aca="false">IF(OR('🖥 Asset Register'!AE12="Critical",'🖥 Asset Register'!AE12="High"),"🔴 HIGH CVE",IF('🖥 Asset Register'!AE12="Medium","🟡 MED CVE",IF('🖥 Asset Register'!AE12="None","✅ OK","❓ Unknown")))</f>
        <v>❓ Unknown</v>
      </c>
      <c r="H12" s="44" t="str">
        <f aca="false">IF('🖥 Asset Register'!AF12="Patches Available","🔴 Unpatched",IF('🖥 Asset Register'!AF12="Cannot Patch","🔴 Cannot Patch",IF('🖥 Asset Register'!AF12="Up to Date","✅ OK","❓ Unknown")))</f>
        <v>❓ Unknown</v>
      </c>
      <c r="I12" s="44" t="str">
        <f aca="false">IF('🖥 Asset Register'!AC12="Yes","🔴 Remote Access","✅ No Remote")</f>
        <v>✅ No Remote</v>
      </c>
      <c r="J12" s="44" t="str">
        <f aca="false">IF(ISNUMBER(SEARCH("undocumented",'🖥 Asset Register'!AW12)),"🔴 UNDOCUMENTED","✅ Documented")</f>
        <v>✅ Documented</v>
      </c>
      <c r="K12" s="45" t="n">
        <f aca="false">MIN(10,(IF('🖥 Asset Register'!V12="Critical",4,IF('🖥 Asset Register'!V12="High",3,IF('🖥 Asset Register'!V12="Medium",2,1)))+IF('🖥 Asset Register'!T12="End of Life",2,IF('🖥 Asset Register'!T12="Extended",1,0))+IF(OR('🖥 Asset Register'!AE12="Critical",'🖥 Asset Register'!AE12="High"),2,IF('🖥 Asset Register'!AE12="Medium",1,0))+IF('🖥 Asset Register'!AF12="Patches Available",1,IF('🖥 Asset Register'!AF12="Cannot Patch",2,0))+IF('🖥 Asset Register'!AC12="Yes",1,0)))</f>
        <v>2</v>
      </c>
      <c r="L12" s="44" t="str">
        <f aca="false">IF(K12&gt;=8,"P1 - CRITICAL",IF(K12&gt;=6,"P2 - HIGH",IF(K12&gt;=4,"P3 - MEDIUM","P4 - LOW")))</f>
        <v>P4 - LOW</v>
      </c>
      <c r="M12" s="44" t="str">
        <f aca="false">IF(K12&gt;=8,"IMMEDIATE ACTION: Isolate/remediate before Phase 1",IF(K12&gt;=6,"HIGH: Schedule remediation within 30 days",IF(K12&gt;=4,"MEDIUM: Include in migration roadmap","LOW: Monitor — standard review cycle")))</f>
        <v>LOW: Monitor — standard review cycle</v>
      </c>
    </row>
    <row r="13" customFormat="false" ht="18" hidden="false" customHeight="true" outlineLevel="0" collapsed="false">
      <c r="A13" s="46" t="str">
        <f aca="false">'🖥 Asset Register'!A13</f>
        <v>AST-010</v>
      </c>
      <c r="B13" s="46" t="str">
        <f aca="false">'🖥 Asset Register'!B13</f>
        <v>Engineering Workstation</v>
      </c>
      <c r="C13" s="46" t="str">
        <f aca="false">'🖥 Asset Register'!C13</f>
        <v>EWS</v>
      </c>
      <c r="D13" s="46" t="str">
        <f aca="false">'🖥 Asset Register'!D13</f>
        <v>2</v>
      </c>
      <c r="E13" s="46" t="str">
        <f aca="false">'🖥 Asset Register'!V13</f>
        <v>High</v>
      </c>
      <c r="F13" s="46" t="str">
        <f aca="false">IF('🖥 Asset Register'!T13="End of Life","🔴 EOL",IF('🖥 Asset Register'!T13="Unknown","❓ Unknown","✅ OK"))</f>
        <v>✅ OK</v>
      </c>
      <c r="G13" s="46" t="str">
        <f aca="false">IF(OR('🖥 Asset Register'!AE13="Critical",'🖥 Asset Register'!AE13="High"),"🔴 HIGH CVE",IF('🖥 Asset Register'!AE13="Medium","🟡 MED CVE",IF('🖥 Asset Register'!AE13="None","✅ OK","❓ Unknown")))</f>
        <v>❓ Unknown</v>
      </c>
      <c r="H13" s="46" t="str">
        <f aca="false">IF('🖥 Asset Register'!AF13="Patches Available","🔴 Unpatched",IF('🖥 Asset Register'!AF13="Cannot Patch","🔴 Cannot Patch",IF('🖥 Asset Register'!AF13="Up to Date","✅ OK","❓ Unknown")))</f>
        <v>❓ Unknown</v>
      </c>
      <c r="I13" s="46" t="str">
        <f aca="false">IF('🖥 Asset Register'!AC13="Yes","🔴 Remote Access","✅ No Remote")</f>
        <v>✅ No Remote</v>
      </c>
      <c r="J13" s="46" t="str">
        <f aca="false">IF(ISNUMBER(SEARCH("undocumented",'🖥 Asset Register'!AW13)),"🔴 UNDOCUMENTED","✅ Documented")</f>
        <v>✅ Documented</v>
      </c>
      <c r="K13" s="47" t="n">
        <f aca="false">MIN(10,(IF('🖥 Asset Register'!V13="Critical",4,IF('🖥 Asset Register'!V13="High",3,IF('🖥 Asset Register'!V13="Medium",2,1)))+IF('🖥 Asset Register'!T13="End of Life",2,IF('🖥 Asset Register'!T13="Extended",1,0))+IF(OR('🖥 Asset Register'!AE13="Critical",'🖥 Asset Register'!AE13="High"),2,IF('🖥 Asset Register'!AE13="Medium",1,0))+IF('🖥 Asset Register'!AF13="Patches Available",1,IF('🖥 Asset Register'!AF13="Cannot Patch",2,0))+IF('🖥 Asset Register'!AC13="Yes",1,0)))</f>
        <v>3</v>
      </c>
      <c r="L13" s="46" t="str">
        <f aca="false">IF(K13&gt;=8,"P1 - CRITICAL",IF(K13&gt;=6,"P2 - HIGH",IF(K13&gt;=4,"P3 - MEDIUM","P4 - LOW")))</f>
        <v>P4 - LOW</v>
      </c>
      <c r="M13" s="46" t="str">
        <f aca="false">IF(K13&gt;=8,"IMMEDIATE ACTION: Isolate/remediate before Phase 1",IF(K13&gt;=6,"HIGH: Schedule remediation within 30 days",IF(K13&gt;=4,"MEDIUM: Include in migration roadmap","LOW: Monitor — standard review cycle")))</f>
        <v>LOW: Monitor — standard review cycle</v>
      </c>
    </row>
  </sheetData>
  <mergeCells count="2">
    <mergeCell ref="A1:M1"/>
    <mergeCell ref="A3:M3"/>
  </mergeCells>
  <conditionalFormatting sqref="K4:K200">
    <cfRule type="colorScale" priority="2">
      <colorScale>
        <cfvo type="num" val="1"/>
        <cfvo type="num" val="5"/>
        <cfvo type="num" val="10"/>
        <color rgb="FF70AD47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20"/>
    <col collapsed="false" customWidth="true" hidden="false" outlineLevel="0" max="9" min="9" style="0" width="3"/>
  </cols>
  <sheetData>
    <row r="1" customFormat="false" ht="19.5" hidden="false" customHeight="true" outlineLevel="0" collapsed="false">
      <c r="B1" s="48" t="s">
        <v>511</v>
      </c>
      <c r="C1" s="48"/>
      <c r="D1" s="48"/>
      <c r="E1" s="48"/>
      <c r="F1" s="48"/>
      <c r="G1" s="48"/>
      <c r="H1" s="48"/>
    </row>
    <row r="2" customFormat="false" ht="19.5" hidden="false" customHeight="true" outlineLevel="0" collapsed="false">
      <c r="B2" s="48"/>
      <c r="C2" s="48"/>
      <c r="D2" s="48"/>
      <c r="E2" s="48"/>
      <c r="F2" s="48"/>
      <c r="G2" s="48"/>
      <c r="H2" s="48"/>
    </row>
    <row r="3" customFormat="false" ht="18" hidden="false" customHeight="true" outlineLevel="0" collapsed="false">
      <c r="B3" s="2" t="str">
        <f aca="true">'🖥 Asset Register'!E4&amp;" | Last updated: "&amp;TEXT(TODAY(),"DD-MMM-YYYY")</f>
        <v>Site A | Last updated: 07-Jun-2026</v>
      </c>
      <c r="C3" s="2"/>
      <c r="D3" s="2"/>
      <c r="E3" s="2"/>
      <c r="F3" s="2"/>
      <c r="G3" s="2"/>
      <c r="H3" s="2"/>
    </row>
    <row r="5" customFormat="false" ht="15.75" hidden="false" customHeight="true" outlineLevel="0" collapsed="false">
      <c r="B5" s="49" t="s">
        <v>512</v>
      </c>
      <c r="C5" s="49"/>
      <c r="D5" s="50" t="s">
        <v>513</v>
      </c>
      <c r="E5" s="50"/>
      <c r="F5" s="50" t="s">
        <v>514</v>
      </c>
      <c r="G5" s="50"/>
    </row>
    <row r="6" customFormat="false" ht="31.5" hidden="false" customHeight="true" outlineLevel="0" collapsed="false">
      <c r="B6" s="51" t="n">
        <f aca="false">COUNTA('🖥 Asset Register'!A4:A200)</f>
        <v>10</v>
      </c>
      <c r="C6" s="51"/>
      <c r="D6" s="52" t="n">
        <f aca="false">COUNTIF('🖥 Asset Register'!V4:V200,"Critical")</f>
        <v>5</v>
      </c>
      <c r="E6" s="52"/>
      <c r="F6" s="52" t="n">
        <f aca="false">COUNTIF('🖥 Asset Register'!T4:T200,"End of Life")</f>
        <v>1</v>
      </c>
      <c r="G6" s="52"/>
    </row>
    <row r="7" customFormat="false" ht="13.5" hidden="false" customHeight="true" outlineLevel="0" collapsed="false">
      <c r="B7" s="53" t="s">
        <v>515</v>
      </c>
      <c r="C7" s="53"/>
      <c r="D7" s="53" t="s">
        <v>516</v>
      </c>
      <c r="E7" s="53"/>
      <c r="F7" s="53" t="s">
        <v>517</v>
      </c>
      <c r="G7" s="53"/>
    </row>
    <row r="10" customFormat="false" ht="15.75" hidden="false" customHeight="true" outlineLevel="0" collapsed="false">
      <c r="B10" s="54" t="s">
        <v>518</v>
      </c>
      <c r="C10" s="54"/>
      <c r="D10" s="54" t="s">
        <v>519</v>
      </c>
      <c r="E10" s="54"/>
      <c r="F10" s="50" t="s">
        <v>520</v>
      </c>
      <c r="G10" s="50"/>
    </row>
    <row r="11" customFormat="false" ht="31.5" hidden="false" customHeight="true" outlineLevel="0" collapsed="false">
      <c r="B11" s="55" t="n">
        <f aca="false">COUNTIF('🖥 Asset Register'!AF4:AF200,"Patches Available")</f>
        <v>0</v>
      </c>
      <c r="C11" s="55"/>
      <c r="D11" s="55" t="n">
        <f aca="false">COUNTIF('🖥 Asset Register'!AC4:AC200,"Yes")</f>
        <v>2</v>
      </c>
      <c r="E11" s="55"/>
      <c r="F11" s="52" t="n">
        <f aca="false">COUNTIF('🖥 Asset Register'!AE4:AE200,"Critical")+COUNTIF('🖥 Asset Register'!AE4:AE200,"High")</f>
        <v>0</v>
      </c>
      <c r="G11" s="52"/>
    </row>
    <row r="12" customFormat="false" ht="13.5" hidden="false" customHeight="true" outlineLevel="0" collapsed="false">
      <c r="B12" s="53" t="s">
        <v>521</v>
      </c>
      <c r="C12" s="53"/>
      <c r="D12" s="53" t="s">
        <v>522</v>
      </c>
      <c r="E12" s="53"/>
      <c r="F12" s="53" t="s">
        <v>523</v>
      </c>
      <c r="G12" s="53"/>
    </row>
    <row r="16" customFormat="false" ht="19.5" hidden="false" customHeight="true" outlineLevel="0" collapsed="false">
      <c r="B16" s="56" t="s">
        <v>524</v>
      </c>
      <c r="C16" s="56"/>
      <c r="D16" s="56"/>
      <c r="E16" s="56"/>
      <c r="F16" s="56"/>
      <c r="G16" s="56"/>
      <c r="H16" s="56"/>
    </row>
    <row r="17" customFormat="false" ht="15.75" hidden="false" customHeight="true" outlineLevel="0" collapsed="false">
      <c r="B17" s="57" t="s">
        <v>151</v>
      </c>
      <c r="C17" s="57"/>
      <c r="D17" s="57"/>
      <c r="E17" s="58" t="n">
        <f aca="false">COUNTIF('🖥 Asset Register'!C4:C200,"PLC")</f>
        <v>1</v>
      </c>
      <c r="F17" s="58"/>
      <c r="G17" s="59"/>
    </row>
    <row r="18" customFormat="false" ht="15.75" hidden="false" customHeight="true" outlineLevel="0" collapsed="false">
      <c r="B18" s="60" t="s">
        <v>226</v>
      </c>
      <c r="C18" s="60"/>
      <c r="D18" s="60"/>
      <c r="E18" s="61" t="n">
        <f aca="false">COUNTIF('🖥 Asset Register'!C4:C200,"RTU")</f>
        <v>1</v>
      </c>
      <c r="F18" s="61"/>
      <c r="G18" s="62"/>
    </row>
    <row r="19" customFormat="false" ht="15.75" hidden="false" customHeight="true" outlineLevel="0" collapsed="false">
      <c r="B19" s="57" t="s">
        <v>196</v>
      </c>
      <c r="C19" s="57"/>
      <c r="D19" s="57"/>
      <c r="E19" s="58" t="n">
        <f aca="false">COUNTIF('🖥 Asset Register'!C4:C200,"HMI")</f>
        <v>1</v>
      </c>
      <c r="F19" s="58"/>
      <c r="G19" s="59"/>
    </row>
    <row r="20" customFormat="false" ht="15.75" hidden="false" customHeight="true" outlineLevel="0" collapsed="false">
      <c r="B20" s="60" t="s">
        <v>411</v>
      </c>
      <c r="C20" s="60"/>
      <c r="D20" s="60"/>
      <c r="E20" s="61" t="n">
        <f aca="false">COUNTIF('🖥 Asset Register'!C4:C200,"EWS")</f>
        <v>1</v>
      </c>
      <c r="F20" s="61"/>
      <c r="G20" s="62"/>
    </row>
    <row r="21" customFormat="false" ht="15.75" hidden="false" customHeight="true" outlineLevel="0" collapsed="false">
      <c r="B21" s="57" t="s">
        <v>525</v>
      </c>
      <c r="C21" s="57"/>
      <c r="D21" s="57"/>
      <c r="E21" s="58" t="n">
        <f aca="false">COUNTIF('🖥 Asset Register'!C4:C200,"SCADA Server")</f>
        <v>0</v>
      </c>
      <c r="F21" s="58"/>
      <c r="G21" s="59"/>
    </row>
    <row r="22" customFormat="false" ht="15.75" hidden="false" customHeight="true" outlineLevel="0" collapsed="false">
      <c r="B22" s="60" t="s">
        <v>296</v>
      </c>
      <c r="C22" s="60"/>
      <c r="D22" s="60"/>
      <c r="E22" s="61" t="n">
        <f aca="false">COUNTIF('🖥 Asset Register'!C4:C200,"Historian")</f>
        <v>1</v>
      </c>
      <c r="F22" s="61"/>
      <c r="G22" s="62"/>
    </row>
    <row r="23" customFormat="false" ht="15.75" hidden="false" customHeight="true" outlineLevel="0" collapsed="false">
      <c r="B23" s="57" t="s">
        <v>350</v>
      </c>
      <c r="C23" s="57"/>
      <c r="D23" s="57"/>
      <c r="E23" s="58" t="n">
        <f aca="false">COUNTIF('🖥 Asset Register'!C4:C200,"Switch")</f>
        <v>1</v>
      </c>
      <c r="F23" s="58"/>
      <c r="G23" s="59"/>
    </row>
    <row r="24" customFormat="false" ht="15.75" hidden="false" customHeight="true" outlineLevel="0" collapsed="false">
      <c r="B24" s="60" t="s">
        <v>322</v>
      </c>
      <c r="C24" s="60"/>
      <c r="D24" s="60"/>
      <c r="E24" s="61" t="n">
        <f aca="false">COUNTIF('🖥 Asset Register'!C4:C200,"Safety PLC")</f>
        <v>1</v>
      </c>
      <c r="F24" s="61"/>
      <c r="G24" s="62"/>
    </row>
    <row r="25" customFormat="false" ht="15.75" hidden="false" customHeight="true" outlineLevel="0" collapsed="false">
      <c r="B25" s="57" t="s">
        <v>393</v>
      </c>
      <c r="C25" s="57"/>
      <c r="D25" s="57"/>
      <c r="E25" s="58" t="n">
        <f aca="false">COUNTIF('🖥 Asset Register'!C4:C200,"Sensor/Field Device")</f>
        <v>1</v>
      </c>
      <c r="F25" s="58"/>
      <c r="G25" s="59"/>
    </row>
    <row r="26" customFormat="false" ht="15.75" hidden="false" customHeight="true" outlineLevel="0" collapsed="false">
      <c r="B26" s="60" t="s">
        <v>526</v>
      </c>
      <c r="C26" s="60"/>
      <c r="D26" s="60"/>
      <c r="E26" s="61" t="n">
        <f aca="false">COUNTIF('🖥 Asset Register'!C4:C200,"Other")</f>
        <v>0</v>
      </c>
      <c r="F26" s="61"/>
      <c r="G26" s="62"/>
    </row>
    <row r="28" customFormat="false" ht="19.5" hidden="false" customHeight="true" outlineLevel="0" collapsed="false">
      <c r="B28" s="56" t="s">
        <v>527</v>
      </c>
      <c r="C28" s="56"/>
      <c r="D28" s="56"/>
      <c r="E28" s="56"/>
      <c r="F28" s="56"/>
      <c r="G28" s="56"/>
      <c r="H28" s="56"/>
    </row>
    <row r="29" customFormat="false" ht="18" hidden="false" customHeight="true" outlineLevel="0" collapsed="false">
      <c r="B29" s="63" t="s">
        <v>168</v>
      </c>
      <c r="C29" s="63"/>
      <c r="D29" s="63"/>
      <c r="E29" s="64" t="n">
        <f aca="false">COUNTIF('🖥 Asset Register'!V4:V200,"Critical")</f>
        <v>5</v>
      </c>
      <c r="F29" s="64"/>
    </row>
    <row r="30" customFormat="false" ht="18" hidden="false" customHeight="true" outlineLevel="0" collapsed="false">
      <c r="B30" s="65" t="s">
        <v>177</v>
      </c>
      <c r="C30" s="65"/>
      <c r="D30" s="65"/>
      <c r="E30" s="66" t="n">
        <f aca="false">COUNTIF('🖥 Asset Register'!V4:V200,"High")</f>
        <v>4</v>
      </c>
      <c r="F30" s="66"/>
    </row>
    <row r="31" customFormat="false" ht="18" hidden="false" customHeight="true" outlineLevel="0" collapsed="false">
      <c r="B31" s="67" t="s">
        <v>247</v>
      </c>
      <c r="C31" s="67"/>
      <c r="D31" s="67"/>
      <c r="E31" s="68" t="n">
        <f aca="false">COUNTIF('🖥 Asset Register'!V4:V200,"Medium")</f>
        <v>1</v>
      </c>
      <c r="F31" s="68"/>
    </row>
    <row r="32" customFormat="false" ht="18" hidden="false" customHeight="true" outlineLevel="0" collapsed="false">
      <c r="B32" s="69" t="s">
        <v>427</v>
      </c>
      <c r="C32" s="69"/>
      <c r="D32" s="69"/>
      <c r="E32" s="70" t="n">
        <f aca="false">COUNTIF('🖥 Asset Register'!V4:V200,"Low")</f>
        <v>0</v>
      </c>
      <c r="F32" s="70"/>
    </row>
  </sheetData>
  <mergeCells count="50">
    <mergeCell ref="B1:H2"/>
    <mergeCell ref="B3:H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6:H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8:H28"/>
    <mergeCell ref="B29:D29"/>
    <mergeCell ref="E29:F29"/>
    <mergeCell ref="B30:D30"/>
    <mergeCell ref="E30:F30"/>
    <mergeCell ref="B31:D31"/>
    <mergeCell ref="E31:F31"/>
    <mergeCell ref="B32:D32"/>
    <mergeCell ref="E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28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71" t="s">
        <v>528</v>
      </c>
      <c r="B1" s="71"/>
      <c r="C1" s="71"/>
      <c r="D1" s="71"/>
    </row>
    <row r="3" customFormat="false" ht="18" hidden="false" customHeight="true" outlineLevel="0" collapsed="false">
      <c r="A3" s="72" t="s">
        <v>529</v>
      </c>
      <c r="B3" s="72"/>
      <c r="C3" s="72"/>
      <c r="D3" s="72"/>
    </row>
    <row r="4" customFormat="false" ht="15" hidden="false" customHeight="true" outlineLevel="0" collapsed="false">
      <c r="A4" s="73" t="s">
        <v>530</v>
      </c>
      <c r="B4" s="73" t="s">
        <v>531</v>
      </c>
      <c r="C4" s="73" t="s">
        <v>532</v>
      </c>
      <c r="D4" s="73"/>
    </row>
    <row r="5" customFormat="false" ht="15" hidden="false" customHeight="true" outlineLevel="0" collapsed="false">
      <c r="A5" s="46" t="s">
        <v>533</v>
      </c>
      <c r="B5" s="46" t="s">
        <v>534</v>
      </c>
      <c r="C5" s="46" t="s">
        <v>535</v>
      </c>
      <c r="D5" s="46"/>
    </row>
    <row r="6" customFormat="false" ht="15" hidden="false" customHeight="true" outlineLevel="0" collapsed="false">
      <c r="A6" s="73" t="s">
        <v>536</v>
      </c>
      <c r="B6" s="73" t="s">
        <v>537</v>
      </c>
      <c r="C6" s="73" t="s">
        <v>538</v>
      </c>
      <c r="D6" s="73"/>
    </row>
    <row r="7" customFormat="false" ht="15" hidden="false" customHeight="true" outlineLevel="0" collapsed="false">
      <c r="A7" s="46" t="s">
        <v>539</v>
      </c>
      <c r="B7" s="46" t="s">
        <v>540</v>
      </c>
      <c r="C7" s="46" t="s">
        <v>541</v>
      </c>
      <c r="D7" s="46"/>
    </row>
    <row r="8" customFormat="false" ht="15" hidden="false" customHeight="true" outlineLevel="0" collapsed="false">
      <c r="A8" s="73" t="s">
        <v>542</v>
      </c>
      <c r="B8" s="73" t="s">
        <v>543</v>
      </c>
      <c r="C8" s="73" t="s">
        <v>544</v>
      </c>
      <c r="D8" s="73"/>
    </row>
    <row r="10" customFormat="false" ht="18" hidden="false" customHeight="true" outlineLevel="0" collapsed="false">
      <c r="A10" s="72" t="s">
        <v>545</v>
      </c>
      <c r="B10" s="72"/>
      <c r="C10" s="72"/>
      <c r="D10" s="72"/>
    </row>
    <row r="11" customFormat="false" ht="15" hidden="false" customHeight="true" outlineLevel="0" collapsed="false">
      <c r="A11" s="73" t="s">
        <v>546</v>
      </c>
      <c r="B11" s="73" t="s">
        <v>547</v>
      </c>
      <c r="C11" s="73" t="s">
        <v>548</v>
      </c>
      <c r="D11" s="73"/>
    </row>
    <row r="12" customFormat="false" ht="15" hidden="false" customHeight="true" outlineLevel="0" collapsed="false">
      <c r="A12" s="46" t="s">
        <v>549</v>
      </c>
      <c r="B12" s="46" t="s">
        <v>156</v>
      </c>
      <c r="C12" s="46" t="s">
        <v>550</v>
      </c>
      <c r="D12" s="46"/>
    </row>
    <row r="13" customFormat="false" ht="15" hidden="false" customHeight="true" outlineLevel="0" collapsed="false">
      <c r="A13" s="73" t="s">
        <v>212</v>
      </c>
      <c r="B13" s="73" t="s">
        <v>217</v>
      </c>
      <c r="C13" s="73" t="s">
        <v>551</v>
      </c>
      <c r="D13" s="73"/>
    </row>
    <row r="14" customFormat="false" ht="15" hidden="false" customHeight="true" outlineLevel="0" collapsed="false">
      <c r="A14" s="46" t="s">
        <v>244</v>
      </c>
      <c r="B14" s="46" t="s">
        <v>552</v>
      </c>
      <c r="C14" s="46" t="s">
        <v>553</v>
      </c>
      <c r="D14" s="46"/>
    </row>
    <row r="15" customFormat="false" ht="15" hidden="false" customHeight="true" outlineLevel="0" collapsed="false">
      <c r="A15" s="73" t="s">
        <v>554</v>
      </c>
      <c r="B15" s="73" t="s">
        <v>555</v>
      </c>
      <c r="C15" s="73" t="s">
        <v>556</v>
      </c>
      <c r="D15" s="73"/>
    </row>
    <row r="16" customFormat="false" ht="15" hidden="false" customHeight="true" outlineLevel="0" collapsed="false">
      <c r="A16" s="46" t="s">
        <v>557</v>
      </c>
      <c r="B16" s="46" t="s">
        <v>555</v>
      </c>
      <c r="C16" s="46" t="s">
        <v>558</v>
      </c>
      <c r="D16" s="46"/>
    </row>
    <row r="17" customFormat="false" ht="15" hidden="false" customHeight="true" outlineLevel="0" collapsed="false">
      <c r="A17" s="73" t="s">
        <v>559</v>
      </c>
      <c r="B17" s="73" t="s">
        <v>560</v>
      </c>
      <c r="C17" s="73" t="s">
        <v>561</v>
      </c>
      <c r="D17" s="73"/>
    </row>
    <row r="18" customFormat="false" ht="15" hidden="false" customHeight="true" outlineLevel="0" collapsed="false">
      <c r="A18" s="46" t="s">
        <v>402</v>
      </c>
      <c r="B18" s="46" t="s">
        <v>562</v>
      </c>
      <c r="C18" s="46" t="s">
        <v>563</v>
      </c>
      <c r="D18" s="46"/>
    </row>
    <row r="19" customFormat="false" ht="15" hidden="false" customHeight="true" outlineLevel="0" collapsed="false">
      <c r="A19" s="73" t="s">
        <v>564</v>
      </c>
      <c r="B19" s="73" t="s">
        <v>565</v>
      </c>
      <c r="C19" s="73" t="s">
        <v>566</v>
      </c>
      <c r="D19" s="73"/>
    </row>
    <row r="20" customFormat="false" ht="15" hidden="false" customHeight="true" outlineLevel="0" collapsed="false">
      <c r="A20" s="46" t="s">
        <v>567</v>
      </c>
      <c r="B20" s="46" t="s">
        <v>568</v>
      </c>
      <c r="C20" s="46" t="s">
        <v>569</v>
      </c>
      <c r="D20" s="46"/>
    </row>
    <row r="22" customFormat="false" ht="18" hidden="false" customHeight="true" outlineLevel="0" collapsed="false">
      <c r="A22" s="72" t="s">
        <v>570</v>
      </c>
      <c r="B22" s="72"/>
      <c r="C22" s="72"/>
      <c r="D22" s="72"/>
    </row>
    <row r="23" customFormat="false" ht="15" hidden="false" customHeight="true" outlineLevel="0" collapsed="false">
      <c r="A23" s="73" t="s">
        <v>168</v>
      </c>
      <c r="B23" s="73" t="s">
        <v>571</v>
      </c>
      <c r="C23" s="73"/>
      <c r="D23" s="73"/>
    </row>
    <row r="24" customFormat="false" ht="15" hidden="false" customHeight="true" outlineLevel="0" collapsed="false">
      <c r="A24" s="46" t="s">
        <v>177</v>
      </c>
      <c r="B24" s="46" t="s">
        <v>572</v>
      </c>
      <c r="C24" s="46"/>
      <c r="D24" s="46"/>
    </row>
    <row r="25" customFormat="false" ht="15" hidden="false" customHeight="true" outlineLevel="0" collapsed="false">
      <c r="A25" s="73" t="s">
        <v>247</v>
      </c>
      <c r="B25" s="73" t="s">
        <v>573</v>
      </c>
      <c r="C25" s="73"/>
      <c r="D25" s="73"/>
    </row>
    <row r="26" customFormat="false" ht="15" hidden="false" customHeight="true" outlineLevel="0" collapsed="false">
      <c r="A26" s="46" t="s">
        <v>427</v>
      </c>
      <c r="B26" s="46" t="s">
        <v>574</v>
      </c>
      <c r="C26" s="46"/>
      <c r="D26" s="46"/>
    </row>
    <row r="28" customFormat="false" ht="18" hidden="false" customHeight="true" outlineLevel="0" collapsed="false">
      <c r="A28" s="72" t="s">
        <v>575</v>
      </c>
      <c r="B28" s="72"/>
      <c r="C28" s="72"/>
      <c r="D28" s="72"/>
    </row>
    <row r="29" customFormat="false" ht="15" hidden="false" customHeight="true" outlineLevel="0" collapsed="false">
      <c r="A29" s="46" t="s">
        <v>576</v>
      </c>
      <c r="B29" s="46" t="s">
        <v>577</v>
      </c>
      <c r="C29" s="46" t="s">
        <v>96</v>
      </c>
      <c r="D29" s="46"/>
    </row>
    <row r="30" customFormat="false" ht="15" hidden="false" customHeight="true" outlineLevel="0" collapsed="false">
      <c r="A30" s="73" t="s">
        <v>516</v>
      </c>
      <c r="B30" s="73" t="s">
        <v>578</v>
      </c>
      <c r="C30" s="73"/>
      <c r="D30" s="73"/>
    </row>
    <row r="31" customFormat="false" ht="15" hidden="false" customHeight="true" outlineLevel="0" collapsed="false">
      <c r="A31" s="46" t="s">
        <v>579</v>
      </c>
      <c r="B31" s="46" t="s">
        <v>580</v>
      </c>
      <c r="C31" s="46"/>
      <c r="D31" s="46"/>
    </row>
    <row r="32" customFormat="false" ht="15" hidden="false" customHeight="true" outlineLevel="0" collapsed="false">
      <c r="A32" s="73" t="s">
        <v>581</v>
      </c>
      <c r="B32" s="73" t="s">
        <v>582</v>
      </c>
      <c r="C32" s="73"/>
      <c r="D32" s="73"/>
    </row>
    <row r="33" customFormat="false" ht="15" hidden="false" customHeight="true" outlineLevel="0" collapsed="false">
      <c r="A33" s="46" t="s">
        <v>583</v>
      </c>
      <c r="B33" s="46" t="s">
        <v>584</v>
      </c>
      <c r="C33" s="46"/>
      <c r="D33" s="46"/>
    </row>
    <row r="34" customFormat="false" ht="15" hidden="false" customHeight="true" outlineLevel="0" collapsed="false">
      <c r="A34" s="73" t="s">
        <v>585</v>
      </c>
      <c r="B34" s="73" t="s">
        <v>582</v>
      </c>
      <c r="C34" s="73"/>
      <c r="D34" s="73"/>
    </row>
    <row r="35" customFormat="false" ht="15" hidden="false" customHeight="true" outlineLevel="0" collapsed="false">
      <c r="A35" s="46" t="s">
        <v>586</v>
      </c>
      <c r="B35" s="46" t="s">
        <v>584</v>
      </c>
      <c r="C35" s="46"/>
      <c r="D35" s="46"/>
    </row>
    <row r="36" customFormat="false" ht="15" hidden="false" customHeight="true" outlineLevel="0" collapsed="false">
      <c r="A36" s="73" t="s">
        <v>587</v>
      </c>
      <c r="B36" s="73" t="s">
        <v>582</v>
      </c>
      <c r="C36" s="73"/>
      <c r="D36" s="73"/>
    </row>
    <row r="37" customFormat="false" ht="15" hidden="false" customHeight="true" outlineLevel="0" collapsed="false">
      <c r="A37" s="46" t="s">
        <v>588</v>
      </c>
      <c r="B37" s="46" t="s">
        <v>584</v>
      </c>
      <c r="C37" s="46"/>
      <c r="D37" s="46"/>
    </row>
    <row r="38" customFormat="false" ht="15" hidden="false" customHeight="true" outlineLevel="0" collapsed="false">
      <c r="A38" s="73" t="s">
        <v>589</v>
      </c>
      <c r="B38" s="73" t="s">
        <v>582</v>
      </c>
      <c r="C38" s="73"/>
      <c r="D38" s="73"/>
    </row>
    <row r="39" customFormat="false" ht="15" hidden="false" customHeight="true" outlineLevel="0" collapsed="false">
      <c r="A39" s="46" t="s">
        <v>590</v>
      </c>
      <c r="B39" s="46" t="s">
        <v>584</v>
      </c>
      <c r="C39" s="46"/>
      <c r="D39" s="46"/>
    </row>
    <row r="40" customFormat="false" ht="15" hidden="false" customHeight="true" outlineLevel="0" collapsed="false">
      <c r="A40" s="73" t="s">
        <v>591</v>
      </c>
      <c r="B40" s="73" t="s">
        <v>584</v>
      </c>
      <c r="C40" s="73"/>
      <c r="D40" s="73"/>
    </row>
    <row r="41" customFormat="false" ht="15" hidden="false" customHeight="true" outlineLevel="0" collapsed="false">
      <c r="A41" s="46" t="s">
        <v>592</v>
      </c>
      <c r="B41" s="46" t="s">
        <v>593</v>
      </c>
      <c r="C41" s="46" t="s">
        <v>594</v>
      </c>
      <c r="D41" s="46"/>
    </row>
  </sheetData>
  <mergeCells count="5">
    <mergeCell ref="A1:D1"/>
    <mergeCell ref="A3:D3"/>
    <mergeCell ref="A10:D10"/>
    <mergeCell ref="A22:D22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2026-06-07T14:44:23Z</dcterms:created>
  <dc:creator>openpyxl</dc:creator>
  <dc:description/>
  <dc:language>en-US</dc:language>
  <cp:lastModifiedBy/>
  <dcterms:modified xsi:type="dcterms:W3CDTF">2026-06-07T14:44:23Z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