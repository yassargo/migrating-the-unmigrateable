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⚖️ Risk Scoring Matrix" sheetId="2" state="visible" r:id="rId2"/>
    <sheet xmlns:r="http://schemas.openxmlformats.org/officeDocument/2006/relationships" name="🗺️ Zone Map" sheetId="3" state="visible" r:id="rId3"/>
    <sheet xmlns:r="http://schemas.openxmlformats.org/officeDocument/2006/relationships" name="🏆 Priority Shortlist" sheetId="4" state="visible" r:id="rId4"/>
    <sheet xmlns:r="http://schemas.openxmlformats.org/officeDocument/2006/relationships" name="📖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color rgb="00C55A11"/>
      <sz val="10"/>
    </font>
    <font>
      <name val="Arial"/>
      <b val="1"/>
      <color rgb="00C00000"/>
      <sz val="10"/>
    </font>
    <font>
      <name val="Arial"/>
      <b val="1"/>
      <color rgb="00C55A11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b val="1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F6B8A"/>
      </patternFill>
    </fill>
    <fill>
      <patternFill patternType="solid">
        <fgColor rgb="007B2D8B"/>
      </patternFill>
    </fill>
    <fill>
      <patternFill patternType="solid">
        <fgColor rgb="001F6B3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4" customWidth="1" min="3" max="3"/>
    <col width="22" customWidth="1" min="4" max="4"/>
    <col width="3" customWidth="1" min="5" max="5"/>
  </cols>
  <sheetData>
    <row r="1" ht="8" customHeight="1"/>
    <row r="2" ht="56" customHeight="1">
      <c r="A2" s="1" t="inlineStr">
        <is>
          <t>⚖️  ICS Risk Scoring Matrix
Migrating the Unmigrateable — Study Notes | [MtU #02]</t>
        </is>
      </c>
    </row>
    <row r="3" ht="26" customHeight="1">
      <c r="B3" s="2" t="inlineStr">
        <is>
          <t>Phase 1 — Risk Assessment &amp; Prioritisation  |  IEC 62443 &amp; Consequence-Based Scoring</t>
        </is>
      </c>
    </row>
    <row r="5" ht="26" customHeight="1">
      <c r="B5" s="3" t="inlineStr">
        <is>
          <t>PROJECT INFORMATION</t>
        </is>
      </c>
      <c r="C5" s="4" t="n"/>
      <c r="D5" s="5" t="n"/>
    </row>
    <row r="6" ht="22" customHeight="1">
      <c r="B6" s="6" t="inlineStr">
        <is>
          <t>Facility / Site Name</t>
        </is>
      </c>
      <c r="C6" s="7" t="inlineStr"/>
      <c r="D6" s="5" t="n"/>
    </row>
    <row r="7" ht="22" customHeight="1">
      <c r="B7" s="6" t="inlineStr">
        <is>
          <t>Assessment Lead</t>
        </is>
      </c>
      <c r="C7" s="7" t="inlineStr"/>
      <c r="D7" s="5" t="n"/>
    </row>
    <row r="8" ht="22" customHeight="1">
      <c r="B8" s="6" t="inlineStr">
        <is>
          <t>Organisation</t>
        </is>
      </c>
      <c r="C8" s="7" t="inlineStr"/>
      <c r="D8" s="5" t="n"/>
    </row>
    <row r="9" ht="22" customHeight="1">
      <c r="B9" s="6" t="inlineStr">
        <is>
          <t>Linked Asset Inventory</t>
        </is>
      </c>
      <c r="C9" s="7" t="inlineStr">
        <is>
          <t>ICS_Asset_Inventory_MtU01.xlsx</t>
        </is>
      </c>
      <c r="D9" s="5" t="n"/>
    </row>
    <row r="10" ht="22" customHeight="1">
      <c r="B10" s="6" t="inlineStr">
        <is>
          <t>Date Started</t>
        </is>
      </c>
      <c r="C10" s="7" t="inlineStr"/>
      <c r="D10" s="5" t="n"/>
    </row>
    <row r="11" ht="22" customHeight="1">
      <c r="B11" s="6" t="inlineStr">
        <is>
          <t>Date Last Updated</t>
        </is>
      </c>
      <c r="C11" s="7" t="inlineStr"/>
      <c r="D11" s="5" t="n"/>
    </row>
    <row r="12" ht="22" customHeight="1">
      <c r="B12" s="6" t="inlineStr">
        <is>
          <t>Version</t>
        </is>
      </c>
      <c r="C12" s="7" t="inlineStr">
        <is>
          <t>v1.0</t>
        </is>
      </c>
      <c r="D12" s="5" t="n"/>
    </row>
    <row r="13" ht="22" customHeight="1">
      <c r="B13" s="6" t="inlineStr">
        <is>
          <t>Classification</t>
        </is>
      </c>
      <c r="C13" s="7" t="inlineStr">
        <is>
          <t>CONFIDENTIAL</t>
        </is>
      </c>
      <c r="D13" s="5" t="n"/>
    </row>
    <row r="15" ht="26" customHeight="1">
      <c r="B15" s="3" t="inlineStr">
        <is>
          <t>SHEETS IN THIS WORKBOOK</t>
        </is>
      </c>
      <c r="C15" s="4" t="n"/>
      <c r="D15" s="5" t="n"/>
    </row>
    <row r="16" ht="22" customHeight="1">
      <c r="B16" s="8" t="inlineStr">
        <is>
          <t>⚖️  Risk Scoring Matrix</t>
        </is>
      </c>
      <c r="C16" s="9" t="inlineStr">
        <is>
          <t>Score every asset across Vulnerability, Consequence and Exposure. Composite score drives priority tier.</t>
        </is>
      </c>
      <c r="D16" s="5" t="n"/>
    </row>
    <row r="17" ht="22" customHeight="1">
      <c r="B17" s="8" t="inlineStr">
        <is>
          <t>🗺️  Zone Map</t>
        </is>
      </c>
      <c r="C17" s="9" t="inlineStr">
        <is>
          <t>Group assets into IEC 62443 Security Zones. Identify conduits and lateral movement paths.</t>
        </is>
      </c>
      <c r="D17" s="5" t="n"/>
    </row>
    <row r="18" ht="22" customHeight="1">
      <c r="B18" s="8" t="inlineStr">
        <is>
          <t>🏆  Priority Shortlist</t>
        </is>
      </c>
      <c r="C18" s="9" t="inlineStr">
        <is>
          <t>Auto-ranked migration shortlist pulled from Risk Matrix. Your project execution order.</t>
        </is>
      </c>
      <c r="D18" s="5" t="n"/>
    </row>
    <row r="19" ht="22" customHeight="1">
      <c r="B19" s="8" t="inlineStr">
        <is>
          <t>📖  Reference</t>
        </is>
      </c>
      <c r="C19" s="9" t="inlineStr">
        <is>
          <t>Scoring rubrics, consequence scale, zone definitions and standards reference.</t>
        </is>
      </c>
      <c r="D19" s="5" t="n"/>
    </row>
    <row r="21" ht="22" customHeight="1">
      <c r="B21" s="10" t="inlineStr">
        <is>
          <t>⚡ Migrating the Unmigrateable — Study Notes | [MtU #02] | Free resource — cite with attribution</t>
        </is>
      </c>
    </row>
  </sheetData>
  <mergeCells count="17">
    <mergeCell ref="C12:D12"/>
    <mergeCell ref="B3:D3"/>
    <mergeCell ref="B5:D5"/>
    <mergeCell ref="C6:D6"/>
    <mergeCell ref="C7:D7"/>
    <mergeCell ref="C10:D10"/>
    <mergeCell ref="C16:D16"/>
    <mergeCell ref="C11:D11"/>
    <mergeCell ref="C19:D19"/>
    <mergeCell ref="C13:D13"/>
    <mergeCell ref="A2:D2"/>
    <mergeCell ref="C9:D9"/>
    <mergeCell ref="B15:D15"/>
    <mergeCell ref="B21:D21"/>
    <mergeCell ref="C17:D17"/>
    <mergeCell ref="C18:D1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14" customWidth="1" min="5" max="5"/>
    <col width="13" customWidth="1" min="6" max="6"/>
    <col width="16" customWidth="1" min="7" max="7"/>
    <col width="18" customWidth="1" min="8" max="8"/>
    <col width="16" customWidth="1" min="9" max="9"/>
    <col width="14" customWidth="1" min="10" max="10"/>
    <col width="15" customWidth="1" min="11" max="11"/>
    <col width="26" customWidth="1" min="12" max="12"/>
    <col width="16" customWidth="1" min="13" max="13"/>
    <col width="26" customWidth="1" min="14" max="14"/>
    <col width="15" customWidth="1" min="15" max="15"/>
    <col width="16" customWidth="1" min="16" max="16"/>
    <col width="18" customWidth="1" min="17" max="17"/>
    <col width="16" customWidth="1" min="18" max="18"/>
    <col width="14" customWidth="1" min="19" max="19"/>
    <col width="15" customWidth="1" min="20" max="20"/>
    <col width="18" customWidth="1" min="21" max="21"/>
    <col width="16" customWidth="1" min="22" max="22"/>
    <col width="18" customWidth="1" min="23" max="23"/>
    <col width="15" customWidth="1" min="24" max="24"/>
    <col width="34" customWidth="1" min="25" max="25"/>
    <col width="22" customWidth="1" min="26" max="26"/>
    <col width="14" customWidth="1" min="27" max="27"/>
    <col width="14" customWidth="1" min="28" max="28"/>
  </cols>
  <sheetData>
    <row r="1" ht="8" customHeight="1"/>
    <row r="2" ht="42" customHeight="1">
      <c r="A2" s="11" t="inlineStr">
        <is>
          <t>⚖️  ICS Risk Scoring Matrix  |  Phase 1 — Risk Assessment &amp; Prioritisation  |  [MtU #02]</t>
        </is>
      </c>
    </row>
    <row r="3" ht="22" customHeight="1">
      <c r="A3" s="12" t="inlineStr">
        <is>
          <t>ASSET IDENTITY</t>
        </is>
      </c>
      <c r="F3" s="13" t="inlineStr">
        <is>
          <t>① VULNERABILITY (1–5)</t>
        </is>
      </c>
      <c r="L3" s="14" t="inlineStr">
        <is>
          <t>② CONSEQUENCE (1–5)</t>
        </is>
      </c>
      <c r="R3" s="15" t="inlineStr">
        <is>
          <t>③ EXPOSURE (1–5)</t>
        </is>
      </c>
      <c r="W3" s="12" t="inlineStr">
        <is>
          <t>COMPOSITE &amp; ACTION</t>
        </is>
      </c>
    </row>
    <row r="4" ht="42" customHeight="1">
      <c r="A4" s="12" t="inlineStr">
        <is>
          <t>Asset ID</t>
        </is>
      </c>
      <c r="B4" s="12" t="inlineStr">
        <is>
          <t>Asset Name / Tag</t>
        </is>
      </c>
      <c r="C4" s="12" t="inlineStr">
        <is>
          <t>Asset Type</t>
        </is>
      </c>
      <c r="D4" s="12" t="inlineStr">
        <is>
          <t>Purdue Level</t>
        </is>
      </c>
      <c r="E4" s="12" t="inlineStr">
        <is>
          <t>Zone</t>
        </is>
      </c>
      <c r="F4" s="13" t="inlineStr">
        <is>
          <t>Known CVEs?</t>
        </is>
      </c>
      <c r="G4" s="13" t="inlineStr">
        <is>
          <t>Highest CVSS Score</t>
        </is>
      </c>
      <c r="H4" s="13" t="inlineStr">
        <is>
          <t>Patch / Support Status</t>
        </is>
      </c>
      <c r="I4" s="13" t="inlineStr">
        <is>
          <t>Auth &amp; Encryption?</t>
        </is>
      </c>
      <c r="J4" s="13" t="inlineStr">
        <is>
          <t>Remote Access?</t>
        </is>
      </c>
      <c r="K4" s="13" t="inlineStr">
        <is>
          <t>Vuln Score (1–5)</t>
        </is>
      </c>
      <c r="L4" s="14" t="inlineStr">
        <is>
          <t>Process / Function</t>
        </is>
      </c>
      <c r="M4" s="14" t="inlineStr">
        <is>
          <t>Safety System (SIL)?</t>
        </is>
      </c>
      <c r="N4" s="14" t="inlineStr">
        <is>
          <t>Consequence if Offline</t>
        </is>
      </c>
      <c r="O4" s="14" t="inlineStr">
        <is>
          <t>Manual Override?</t>
        </is>
      </c>
      <c r="P4" s="14" t="inlineStr">
        <is>
          <t>Blast Radius</t>
        </is>
      </c>
      <c r="Q4" s="14" t="inlineStr">
        <is>
          <t>Consequence Score (1–5)</t>
        </is>
      </c>
      <c r="R4" s="15" t="inlineStr">
        <is>
          <t>Network Segmented?</t>
        </is>
      </c>
      <c r="S4" s="15" t="inlineStr">
        <is>
          <t>IT/OT Bridge?</t>
        </is>
      </c>
      <c r="T4" s="15" t="inlineStr">
        <is>
          <t>3rd Party Access?</t>
        </is>
      </c>
      <c r="U4" s="15" t="inlineStr">
        <is>
          <t>Physical Access Control</t>
        </is>
      </c>
      <c r="V4" s="15" t="inlineStr">
        <is>
          <t>Exposure Score (1–5)</t>
        </is>
      </c>
      <c r="W4" s="12" t="inlineStr">
        <is>
          <t>Composite Risk Score</t>
        </is>
      </c>
      <c r="X4" s="12" t="inlineStr">
        <is>
          <t>Priority Tier</t>
        </is>
      </c>
      <c r="Y4" s="12" t="inlineStr">
        <is>
          <t>Recommended Action</t>
        </is>
      </c>
      <c r="Z4" s="12" t="inlineStr">
        <is>
          <t>Owner / Responsible</t>
        </is>
      </c>
      <c r="AA4" s="12" t="inlineStr">
        <is>
          <t>Target Date</t>
        </is>
      </c>
      <c r="AB4" s="12" t="inlineStr">
        <is>
          <t>Status</t>
        </is>
      </c>
    </row>
    <row r="5" ht="36" customHeight="1">
      <c r="A5" s="16" t="inlineStr">
        <is>
          <t>ICS-001</t>
        </is>
      </c>
      <c r="B5" s="16" t="inlineStr">
        <is>
          <t>PLC-UNIT-01</t>
        </is>
      </c>
      <c r="C5" s="16" t="inlineStr">
        <is>
          <t>PLC</t>
        </is>
      </c>
      <c r="D5" s="16" t="inlineStr">
        <is>
          <t>1</t>
        </is>
      </c>
      <c r="E5" s="16" t="inlineStr">
        <is>
          <t>OT Zone 1</t>
        </is>
      </c>
      <c r="F5" s="16" t="inlineStr">
        <is>
          <t>Yes</t>
        </is>
      </c>
      <c r="G5" s="16" t="inlineStr">
        <is>
          <t>7.8</t>
        </is>
      </c>
      <c r="H5" s="16" t="inlineStr">
        <is>
          <t>EOL</t>
        </is>
      </c>
      <c r="I5" s="16" t="inlineStr">
        <is>
          <t>No</t>
        </is>
      </c>
      <c r="J5" s="16" t="inlineStr">
        <is>
          <t>No</t>
        </is>
      </c>
      <c r="K5" s="17" t="n">
        <v>4</v>
      </c>
      <c r="L5" s="16" t="inlineStr">
        <is>
          <t>Controls conveyor line 3</t>
        </is>
      </c>
      <c r="M5" s="16" t="inlineStr">
        <is>
          <t>No</t>
        </is>
      </c>
      <c r="N5" s="16" t="inlineStr">
        <is>
          <t>Line 3 stops. No manual override.</t>
        </is>
      </c>
      <c r="O5" s="16" t="inlineStr">
        <is>
          <t>No</t>
        </is>
      </c>
      <c r="P5" s="16" t="inlineStr">
        <is>
          <t>Low</t>
        </is>
      </c>
      <c r="Q5" s="17" t="n">
        <v>3</v>
      </c>
      <c r="R5" s="16" t="inlineStr">
        <is>
          <t>Partial</t>
        </is>
      </c>
      <c r="S5" s="16" t="inlineStr">
        <is>
          <t>No</t>
        </is>
      </c>
      <c r="T5" s="16" t="inlineStr">
        <is>
          <t>No</t>
        </is>
      </c>
      <c r="U5" s="16" t="inlineStr">
        <is>
          <t>Controlled</t>
        </is>
      </c>
      <c r="V5" s="17" t="n">
        <v>3</v>
      </c>
      <c r="W5" s="18" t="n">
        <v>36</v>
      </c>
      <c r="X5" s="19" t="inlineStr">
        <is>
          <t>🟠 High</t>
        </is>
      </c>
      <c r="Y5" s="16" t="inlineStr">
        <is>
          <t>Replace with Siemens S7-1500. Interim: isolate VLAN, add compensating firewall rules.</t>
        </is>
      </c>
      <c r="Z5" s="16" t="inlineStr">
        <is>
          <t>OT Engineer</t>
        </is>
      </c>
      <c r="AA5" s="16" t="inlineStr">
        <is>
          <t>2025-06-30</t>
        </is>
      </c>
      <c r="AB5" s="16" t="inlineStr">
        <is>
          <t>Planned</t>
        </is>
      </c>
    </row>
    <row r="6" ht="36" customHeight="1">
      <c r="A6" s="20" t="inlineStr">
        <is>
          <t>ICS-002</t>
        </is>
      </c>
      <c r="B6" s="20" t="inlineStr">
        <is>
          <t>PLC-UNIT-02</t>
        </is>
      </c>
      <c r="C6" s="20" t="inlineStr">
        <is>
          <t>PLC</t>
        </is>
      </c>
      <c r="D6" s="20" t="inlineStr">
        <is>
          <t>1</t>
        </is>
      </c>
      <c r="E6" s="20" t="inlineStr">
        <is>
          <t>OT Zone 1</t>
        </is>
      </c>
      <c r="F6" s="20" t="inlineStr">
        <is>
          <t>No</t>
        </is>
      </c>
      <c r="G6" s="20" t="inlineStr">
        <is>
          <t>N/A</t>
        </is>
      </c>
      <c r="H6" s="20" t="inlineStr">
        <is>
          <t>Active</t>
        </is>
      </c>
      <c r="I6" s="20" t="inlineStr">
        <is>
          <t>Yes</t>
        </is>
      </c>
      <c r="J6" s="20" t="inlineStr">
        <is>
          <t>No</t>
        </is>
      </c>
      <c r="K6" s="17" t="n">
        <v>1</v>
      </c>
      <c r="L6" s="20" t="inlineStr">
        <is>
          <t>Controls assembly robot cell</t>
        </is>
      </c>
      <c r="M6" s="20" t="inlineStr">
        <is>
          <t>No</t>
        </is>
      </c>
      <c r="N6" s="20" t="inlineStr">
        <is>
          <t>Cell pauses. Manual override available.</t>
        </is>
      </c>
      <c r="O6" s="20" t="inlineStr">
        <is>
          <t>Yes</t>
        </is>
      </c>
      <c r="P6" s="20" t="inlineStr">
        <is>
          <t>Low</t>
        </is>
      </c>
      <c r="Q6" s="17" t="n">
        <v>2</v>
      </c>
      <c r="R6" s="20" t="inlineStr">
        <is>
          <t>Yes</t>
        </is>
      </c>
      <c r="S6" s="20" t="inlineStr">
        <is>
          <t>No</t>
        </is>
      </c>
      <c r="T6" s="20" t="inlineStr">
        <is>
          <t>No</t>
        </is>
      </c>
      <c r="U6" s="20" t="inlineStr">
        <is>
          <t>Controlled</t>
        </is>
      </c>
      <c r="V6" s="17" t="n">
        <v>1</v>
      </c>
      <c r="W6" s="21" t="n">
        <v>2</v>
      </c>
      <c r="X6" s="19" t="inlineStr">
        <is>
          <t>🟢 Low</t>
        </is>
      </c>
      <c r="Y6" s="20" t="inlineStr">
        <is>
          <t>Monitor. Schedule firmware review 2025. No immediate action required.</t>
        </is>
      </c>
      <c r="Z6" s="20" t="inlineStr">
        <is>
          <t>OT Engineer</t>
        </is>
      </c>
      <c r="AA6" s="20" t="inlineStr">
        <is>
          <t>2025-12-31</t>
        </is>
      </c>
      <c r="AB6" s="20" t="inlineStr">
        <is>
          <t>Monitoring</t>
        </is>
      </c>
    </row>
    <row r="7" ht="36" customHeight="1">
      <c r="A7" s="16" t="inlineStr">
        <is>
          <t>ICS-003</t>
        </is>
      </c>
      <c r="B7" s="16" t="inlineStr">
        <is>
          <t>RTU-REMOTE-01</t>
        </is>
      </c>
      <c r="C7" s="16" t="inlineStr">
        <is>
          <t>RTU</t>
        </is>
      </c>
      <c r="D7" s="16" t="inlineStr">
        <is>
          <t>1</t>
        </is>
      </c>
      <c r="E7" s="16" t="inlineStr">
        <is>
          <t>OT Zone 2</t>
        </is>
      </c>
      <c r="F7" s="16" t="inlineStr">
        <is>
          <t>Yes</t>
        </is>
      </c>
      <c r="G7" s="16" t="inlineStr">
        <is>
          <t>8.1</t>
        </is>
      </c>
      <c r="H7" s="16" t="inlineStr">
        <is>
          <t>Extended</t>
        </is>
      </c>
      <c r="I7" s="16" t="inlineStr">
        <is>
          <t>No</t>
        </is>
      </c>
      <c r="J7" s="16" t="inlineStr">
        <is>
          <t>Yes</t>
        </is>
      </c>
      <c r="K7" s="17" t="n">
        <v>4</v>
      </c>
      <c r="L7" s="16" t="inlineStr">
        <is>
          <t>Remote monitoring substation</t>
        </is>
      </c>
      <c r="M7" s="16" t="inlineStr">
        <is>
          <t>No</t>
        </is>
      </c>
      <c r="N7" s="16" t="inlineStr">
        <is>
          <t>Loss of substation visibility.</t>
        </is>
      </c>
      <c r="O7" s="16" t="inlineStr">
        <is>
          <t>No</t>
        </is>
      </c>
      <c r="P7" s="16" t="inlineStr">
        <is>
          <t>Medium</t>
        </is>
      </c>
      <c r="Q7" s="17" t="n">
        <v>3</v>
      </c>
      <c r="R7" s="16" t="inlineStr">
        <is>
          <t>Partial</t>
        </is>
      </c>
      <c r="S7" s="16" t="inlineStr">
        <is>
          <t>No</t>
        </is>
      </c>
      <c r="T7" s="16" t="inlineStr">
        <is>
          <t>Yes</t>
        </is>
      </c>
      <c r="U7" s="16" t="inlineStr">
        <is>
          <t>Uncontrolled</t>
        </is>
      </c>
      <c r="V7" s="17" t="n">
        <v>5</v>
      </c>
      <c r="W7" s="22" t="n">
        <v>60</v>
      </c>
      <c r="X7" s="19" t="inlineStr">
        <is>
          <t>🟠 High</t>
        </is>
      </c>
      <c r="Y7" s="16" t="inlineStr">
        <is>
          <t>Patch CVE immediately. Decommission undocumented 4G modem. Add MFA for all remote access.</t>
        </is>
      </c>
      <c r="Z7" s="16" t="inlineStr">
        <is>
          <t>OT Lead + Security</t>
        </is>
      </c>
      <c r="AA7" s="16" t="inlineStr">
        <is>
          <t>2025-03-31</t>
        </is>
      </c>
      <c r="AB7" s="16" t="inlineStr">
        <is>
          <t>In Progress</t>
        </is>
      </c>
    </row>
    <row r="8" ht="36" customHeight="1">
      <c r="A8" s="20" t="inlineStr">
        <is>
          <t>ICS-004</t>
        </is>
      </c>
      <c r="B8" s="20" t="inlineStr">
        <is>
          <t>HMI-CTRL-01</t>
        </is>
      </c>
      <c r="C8" s="20" t="inlineStr">
        <is>
          <t>HMI</t>
        </is>
      </c>
      <c r="D8" s="20" t="inlineStr">
        <is>
          <t>2</t>
        </is>
      </c>
      <c r="E8" s="20" t="inlineStr">
        <is>
          <t>OT Zone 1</t>
        </is>
      </c>
      <c r="F8" s="20" t="inlineStr">
        <is>
          <t>Yes</t>
        </is>
      </c>
      <c r="G8" s="20" t="inlineStr">
        <is>
          <t>9.1</t>
        </is>
      </c>
      <c r="H8" s="20" t="inlineStr">
        <is>
          <t>EOL</t>
        </is>
      </c>
      <c r="I8" s="20" t="inlineStr">
        <is>
          <t>No</t>
        </is>
      </c>
      <c r="J8" s="20" t="inlineStr">
        <is>
          <t>No</t>
        </is>
      </c>
      <c r="K8" s="17" t="n">
        <v>5</v>
      </c>
      <c r="L8" s="20" t="inlineStr">
        <is>
          <t>Operator interface for line 3</t>
        </is>
      </c>
      <c r="M8" s="20" t="inlineStr">
        <is>
          <t>No</t>
        </is>
      </c>
      <c r="N8" s="20" t="inlineStr">
        <is>
          <t>Operators lose visibility of line 3.</t>
        </is>
      </c>
      <c r="O8" s="20" t="inlineStr">
        <is>
          <t>No</t>
        </is>
      </c>
      <c r="P8" s="20" t="inlineStr">
        <is>
          <t>Medium</t>
        </is>
      </c>
      <c r="Q8" s="17" t="n">
        <v>3</v>
      </c>
      <c r="R8" s="20" t="inlineStr">
        <is>
          <t>No</t>
        </is>
      </c>
      <c r="S8" s="20" t="inlineStr">
        <is>
          <t>No</t>
        </is>
      </c>
      <c r="T8" s="20" t="inlineStr">
        <is>
          <t>No</t>
        </is>
      </c>
      <c r="U8" s="20" t="inlineStr">
        <is>
          <t>Controlled</t>
        </is>
      </c>
      <c r="V8" s="17" t="n">
        <v>3</v>
      </c>
      <c r="W8" s="22" t="n">
        <v>45</v>
      </c>
      <c r="X8" s="19" t="inlineStr">
        <is>
          <t>🟠 High</t>
        </is>
      </c>
      <c r="Y8" s="20" t="inlineStr">
        <is>
          <t>Replace HMI urgently. Running Win7 — no patches since 2020. Interim: physical access only.</t>
        </is>
      </c>
      <c r="Z8" s="20" t="inlineStr">
        <is>
          <t>OT Engineer</t>
        </is>
      </c>
      <c r="AA8" s="20" t="inlineStr">
        <is>
          <t>2025-04-30</t>
        </is>
      </c>
      <c r="AB8" s="20" t="inlineStr">
        <is>
          <t>Planned</t>
        </is>
      </c>
    </row>
    <row r="9" ht="36" customHeight="1">
      <c r="A9" s="16" t="inlineStr">
        <is>
          <t>ICS-005</t>
        </is>
      </c>
      <c r="B9" s="16" t="inlineStr">
        <is>
          <t>EWS-ENG-01</t>
        </is>
      </c>
      <c r="C9" s="16" t="inlineStr">
        <is>
          <t>Engineering WS</t>
        </is>
      </c>
      <c r="D9" s="16" t="inlineStr">
        <is>
          <t>2</t>
        </is>
      </c>
      <c r="E9" s="16" t="inlineStr">
        <is>
          <t>IT/OT DMZ</t>
        </is>
      </c>
      <c r="F9" s="16" t="inlineStr">
        <is>
          <t>No</t>
        </is>
      </c>
      <c r="G9" s="16" t="inlineStr">
        <is>
          <t>N/A</t>
        </is>
      </c>
      <c r="H9" s="16" t="inlineStr">
        <is>
          <t>Active</t>
        </is>
      </c>
      <c r="I9" s="16" t="inlineStr">
        <is>
          <t>Partial</t>
        </is>
      </c>
      <c r="J9" s="16" t="inlineStr">
        <is>
          <t>Yes</t>
        </is>
      </c>
      <c r="K9" s="17" t="n">
        <v>2</v>
      </c>
      <c r="L9" s="16" t="inlineStr">
        <is>
          <t>PLC programming workstation</t>
        </is>
      </c>
      <c r="M9" s="16" t="inlineStr">
        <is>
          <t>No</t>
        </is>
      </c>
      <c r="N9" s="16" t="inlineStr">
        <is>
          <t>Engineering changes cannot be deployed.</t>
        </is>
      </c>
      <c r="O9" s="16" t="inlineStr">
        <is>
          <t>N/A</t>
        </is>
      </c>
      <c r="P9" s="16" t="inlineStr">
        <is>
          <t>High</t>
        </is>
      </c>
      <c r="Q9" s="17" t="n">
        <v>3</v>
      </c>
      <c r="R9" s="16" t="inlineStr">
        <is>
          <t>Partial</t>
        </is>
      </c>
      <c r="S9" s="16" t="inlineStr">
        <is>
          <t>Yes</t>
        </is>
      </c>
      <c r="T9" s="16" t="inlineStr">
        <is>
          <t>No</t>
        </is>
      </c>
      <c r="U9" s="16" t="inlineStr">
        <is>
          <t>Controlled</t>
        </is>
      </c>
      <c r="V9" s="17" t="n">
        <v>4</v>
      </c>
      <c r="W9" s="18" t="n">
        <v>24</v>
      </c>
      <c r="X9" s="19" t="inlineStr">
        <is>
          <t>🟡 Medium</t>
        </is>
      </c>
      <c r="Y9" s="16" t="inlineStr">
        <is>
          <t>Enforce MFA on RDP. Restrict access by IP. Enable full audit logging.</t>
        </is>
      </c>
      <c r="Z9" s="16" t="inlineStr">
        <is>
          <t>IT Security</t>
        </is>
      </c>
      <c r="AA9" s="16" t="inlineStr">
        <is>
          <t>2025-05-31</t>
        </is>
      </c>
      <c r="AB9" s="16" t="inlineStr">
        <is>
          <t>Not Started</t>
        </is>
      </c>
    </row>
    <row r="10" ht="36" customHeight="1">
      <c r="A10" s="20" t="inlineStr">
        <is>
          <t>ICS-006</t>
        </is>
      </c>
      <c r="B10" s="20" t="inlineStr">
        <is>
          <t>DCS-NODE-01</t>
        </is>
      </c>
      <c r="C10" s="20" t="inlineStr">
        <is>
          <t>DCS Controller</t>
        </is>
      </c>
      <c r="D10" s="20" t="inlineStr">
        <is>
          <t>1</t>
        </is>
      </c>
      <c r="E10" s="20" t="inlineStr">
        <is>
          <t>OT Zone 3</t>
        </is>
      </c>
      <c r="F10" s="20" t="inlineStr">
        <is>
          <t>No</t>
        </is>
      </c>
      <c r="G10" s="20" t="inlineStr">
        <is>
          <t>N/A</t>
        </is>
      </c>
      <c r="H10" s="20" t="inlineStr">
        <is>
          <t>Active</t>
        </is>
      </c>
      <c r="I10" s="20" t="inlineStr">
        <is>
          <t>Partial</t>
        </is>
      </c>
      <c r="J10" s="20" t="inlineStr">
        <is>
          <t>No</t>
        </is>
      </c>
      <c r="K10" s="17" t="n">
        <v>2</v>
      </c>
      <c r="L10" s="20" t="inlineStr">
        <is>
          <t>Reactor temperature control</t>
        </is>
      </c>
      <c r="M10" s="20" t="inlineStr">
        <is>
          <t>Yes — SIL 2</t>
        </is>
      </c>
      <c r="N10" s="20" t="inlineStr">
        <is>
          <t>Safety shutdown triggers if lost.</t>
        </is>
      </c>
      <c r="O10" s="20" t="inlineStr">
        <is>
          <t>Yes</t>
        </is>
      </c>
      <c r="P10" s="20" t="inlineStr">
        <is>
          <t>High</t>
        </is>
      </c>
      <c r="Q10" s="17" t="n">
        <v>5</v>
      </c>
      <c r="R10" s="20" t="inlineStr">
        <is>
          <t>Yes</t>
        </is>
      </c>
      <c r="S10" s="20" t="inlineStr">
        <is>
          <t>No</t>
        </is>
      </c>
      <c r="T10" s="20" t="inlineStr">
        <is>
          <t>No</t>
        </is>
      </c>
      <c r="U10" s="20" t="inlineStr">
        <is>
          <t>Controlled</t>
        </is>
      </c>
      <c r="V10" s="17" t="n">
        <v>2</v>
      </c>
      <c r="W10" s="18" t="n">
        <v>20</v>
      </c>
      <c r="X10" s="19" t="inlineStr">
        <is>
          <t>🟡 Medium</t>
        </is>
      </c>
      <c r="Y10" s="20" t="inlineStr">
        <is>
          <t>SIL 2 loop — all changes require MOC process. Coordinate with safety team before any work.</t>
        </is>
      </c>
      <c r="Z10" s="20" t="inlineStr">
        <is>
          <t>Safety Engineer</t>
        </is>
      </c>
      <c r="AA10" s="20" t="inlineStr">
        <is>
          <t>2025-09-30</t>
        </is>
      </c>
      <c r="AB10" s="20" t="inlineStr">
        <is>
          <t>Monitoring</t>
        </is>
      </c>
    </row>
    <row r="11" ht="36" customHeight="1">
      <c r="A11" s="16" t="inlineStr">
        <is>
          <t>ICS-007</t>
        </is>
      </c>
      <c r="B11" s="16" t="inlineStr">
        <is>
          <t>HIST-01</t>
        </is>
      </c>
      <c r="C11" s="16" t="inlineStr">
        <is>
          <t>Historian Server</t>
        </is>
      </c>
      <c r="D11" s="16" t="inlineStr">
        <is>
          <t>3</t>
        </is>
      </c>
      <c r="E11" s="16" t="inlineStr">
        <is>
          <t>IT/OT DMZ</t>
        </is>
      </c>
      <c r="F11" s="16" t="inlineStr">
        <is>
          <t>Yes</t>
        </is>
      </c>
      <c r="G11" s="16" t="inlineStr">
        <is>
          <t>7.2</t>
        </is>
      </c>
      <c r="H11" s="16" t="inlineStr">
        <is>
          <t>Extended</t>
        </is>
      </c>
      <c r="I11" s="16" t="inlineStr">
        <is>
          <t>No</t>
        </is>
      </c>
      <c r="J11" s="16" t="inlineStr">
        <is>
          <t>No</t>
        </is>
      </c>
      <c r="K11" s="17" t="n">
        <v>3</v>
      </c>
      <c r="L11" s="16" t="inlineStr">
        <is>
          <t>Process data historian</t>
        </is>
      </c>
      <c r="M11" s="16" t="inlineStr">
        <is>
          <t>No</t>
        </is>
      </c>
      <c r="N11" s="16" t="inlineStr">
        <is>
          <t>Loss of historical data logging.</t>
        </is>
      </c>
      <c r="O11" s="16" t="inlineStr">
        <is>
          <t>N/A</t>
        </is>
      </c>
      <c r="P11" s="16" t="inlineStr">
        <is>
          <t>High</t>
        </is>
      </c>
      <c r="Q11" s="17" t="n">
        <v>2</v>
      </c>
      <c r="R11" s="16" t="inlineStr">
        <is>
          <t>No</t>
        </is>
      </c>
      <c r="S11" s="16" t="inlineStr">
        <is>
          <t>Yes</t>
        </is>
      </c>
      <c r="T11" s="16" t="inlineStr">
        <is>
          <t>No</t>
        </is>
      </c>
      <c r="U11" s="16" t="inlineStr">
        <is>
          <t>Controlled</t>
        </is>
      </c>
      <c r="V11" s="17" t="n">
        <v>4</v>
      </c>
      <c r="W11" s="18" t="n">
        <v>24</v>
      </c>
      <c r="X11" s="19" t="inlineStr">
        <is>
          <t>🟡 Medium</t>
        </is>
      </c>
      <c r="Y11" s="16" t="inlineStr">
        <is>
          <t>Patch CVE-2023-31409 urgently. Audit firewall rules. Historian is primary IT/OT bridge.</t>
        </is>
      </c>
      <c r="Z11" s="16" t="inlineStr">
        <is>
          <t>IT Security + OT</t>
        </is>
      </c>
      <c r="AA11" s="16" t="inlineStr">
        <is>
          <t>2025-04-30</t>
        </is>
      </c>
      <c r="AB11" s="16" t="inlineStr">
        <is>
          <t>Not Started</t>
        </is>
      </c>
    </row>
    <row r="12" ht="36" customHeight="1">
      <c r="A12" s="20" t="inlineStr">
        <is>
          <t>ICS-010</t>
        </is>
      </c>
      <c r="B12" s="20" t="inlineStr">
        <is>
          <t>MODEM-4G-UNKN</t>
        </is>
      </c>
      <c r="C12" s="20" t="inlineStr">
        <is>
          <t>4G Modem</t>
        </is>
      </c>
      <c r="D12" s="20" t="inlineStr">
        <is>
          <t>1</t>
        </is>
      </c>
      <c r="E12" s="20" t="inlineStr">
        <is>
          <t>OT Zone 2</t>
        </is>
      </c>
      <c r="F12" s="20" t="inlineStr">
        <is>
          <t>Unknown</t>
        </is>
      </c>
      <c r="G12" s="20" t="inlineStr">
        <is>
          <t>Unknown</t>
        </is>
      </c>
      <c r="H12" s="20" t="inlineStr">
        <is>
          <t>UNDOCUMENTED</t>
        </is>
      </c>
      <c r="I12" s="20" t="inlineStr">
        <is>
          <t>No</t>
        </is>
      </c>
      <c r="J12" s="20" t="inlineStr">
        <is>
          <t>Yes</t>
        </is>
      </c>
      <c r="K12" s="17" t="n">
        <v>5</v>
      </c>
      <c r="L12" s="20" t="inlineStr">
        <is>
          <t>Unknown — undocumented device</t>
        </is>
      </c>
      <c r="M12" s="20" t="inlineStr">
        <is>
          <t>Unknown</t>
        </is>
      </c>
      <c r="N12" s="20" t="inlineStr">
        <is>
          <t>Unknown — assess immediately.</t>
        </is>
      </c>
      <c r="O12" s="20" t="inlineStr">
        <is>
          <t>No</t>
        </is>
      </c>
      <c r="P12" s="20" t="inlineStr">
        <is>
          <t>Unknown</t>
        </is>
      </c>
      <c r="Q12" s="17" t="n">
        <v>5</v>
      </c>
      <c r="R12" s="20" t="inlineStr">
        <is>
          <t>No</t>
        </is>
      </c>
      <c r="S12" s="20" t="inlineStr">
        <is>
          <t>Yes</t>
        </is>
      </c>
      <c r="T12" s="20" t="inlineStr">
        <is>
          <t>Yes</t>
        </is>
      </c>
      <c r="U12" s="20" t="inlineStr">
        <is>
          <t>None</t>
        </is>
      </c>
      <c r="V12" s="17" t="n">
        <v>5</v>
      </c>
      <c r="W12" s="23" t="n">
        <v>125</v>
      </c>
      <c r="X12" s="19" t="inlineStr">
        <is>
          <t>🔴 Critical</t>
        </is>
      </c>
      <c r="Y12" s="20" t="inlineStr">
        <is>
          <t>PHYSICALLY DISCONNECT IMMEDIATELY. Investigate vendor access. Document all findings. Do not reconnect until fully assessed.</t>
        </is>
      </c>
      <c r="Z12" s="20" t="inlineStr">
        <is>
          <t>OT Lead + Management</t>
        </is>
      </c>
      <c r="AA12" s="20" t="inlineStr">
        <is>
          <t>IMMEDIATE</t>
        </is>
      </c>
      <c r="AB12" s="20" t="inlineStr">
        <is>
          <t>Urgent</t>
        </is>
      </c>
    </row>
    <row r="13" ht="28" customHeight="1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>
        <f>IF(K13*Q13*V13=0,"",K13*Q13*V13)</f>
        <v/>
      </c>
      <c r="X13" s="26">
        <f>IF(W13="","",IF(W13&gt;=75,"🔴 Critical",IF(W13&gt;=40,"🟠 High",IF(W13&gt;=15,"🟡 Medium","🟢 Low"))))</f>
        <v/>
      </c>
      <c r="Y13" s="16" t="n"/>
      <c r="Z13" s="16" t="n"/>
      <c r="AA13" s="16" t="n"/>
      <c r="AB13" s="16" t="n"/>
    </row>
    <row r="14" ht="28" customHeight="1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5">
        <f>IF(K14*Q14*V14=0,"",K14*Q14*V14)</f>
        <v/>
      </c>
      <c r="X14" s="26">
        <f>IF(W14="","",IF(W14&gt;=75,"🔴 Critical",IF(W14&gt;=40,"🟠 High",IF(W14&gt;=15,"🟡 Medium","🟢 Low"))))</f>
        <v/>
      </c>
      <c r="Y14" s="20" t="n"/>
      <c r="Z14" s="20" t="n"/>
      <c r="AA14" s="20" t="n"/>
      <c r="AB14" s="20" t="n"/>
    </row>
    <row r="15" ht="28" customHeight="1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>
        <f>IF(K15*Q15*V15=0,"",K15*Q15*V15)</f>
        <v/>
      </c>
      <c r="X15" s="26">
        <f>IF(W15="","",IF(W15&gt;=75,"🔴 Critical",IF(W15&gt;=40,"🟠 High",IF(W15&gt;=15,"🟡 Medium","🟢 Low"))))</f>
        <v/>
      </c>
      <c r="Y15" s="16" t="n"/>
      <c r="Z15" s="16" t="n"/>
      <c r="AA15" s="16" t="n"/>
      <c r="AB15" s="16" t="n"/>
    </row>
    <row r="16" ht="28" customHeight="1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5">
        <f>IF(K16*Q16*V16=0,"",K16*Q16*V16)</f>
        <v/>
      </c>
      <c r="X16" s="26">
        <f>IF(W16="","",IF(W16&gt;=75,"🔴 Critical",IF(W16&gt;=40,"🟠 High",IF(W16&gt;=15,"🟡 Medium","🟢 Low"))))</f>
        <v/>
      </c>
      <c r="Y16" s="20" t="n"/>
      <c r="Z16" s="20" t="n"/>
      <c r="AA16" s="20" t="n"/>
      <c r="AB16" s="20" t="n"/>
    </row>
    <row r="17" ht="28" customHeight="1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>
        <f>IF(K17*Q17*V17=0,"",K17*Q17*V17)</f>
        <v/>
      </c>
      <c r="X17" s="26">
        <f>IF(W17="","",IF(W17&gt;=75,"🔴 Critical",IF(W17&gt;=40,"🟠 High",IF(W17&gt;=15,"🟡 Medium","🟢 Low"))))</f>
        <v/>
      </c>
      <c r="Y17" s="16" t="n"/>
      <c r="Z17" s="16" t="n"/>
      <c r="AA17" s="16" t="n"/>
      <c r="AB17" s="16" t="n"/>
    </row>
    <row r="18" ht="28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5">
        <f>IF(K18*Q18*V18=0,"",K18*Q18*V18)</f>
        <v/>
      </c>
      <c r="X18" s="26">
        <f>IF(W18="","",IF(W18&gt;=75,"🔴 Critical",IF(W18&gt;=40,"🟠 High",IF(W18&gt;=15,"🟡 Medium","🟢 Low"))))</f>
        <v/>
      </c>
      <c r="Y18" s="20" t="n"/>
      <c r="Z18" s="20" t="n"/>
      <c r="AA18" s="20" t="n"/>
      <c r="AB18" s="20" t="n"/>
    </row>
    <row r="19" ht="28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>
        <f>IF(K19*Q19*V19=0,"",K19*Q19*V19)</f>
        <v/>
      </c>
      <c r="X19" s="26">
        <f>IF(W19="","",IF(W19&gt;=75,"🔴 Critical",IF(W19&gt;=40,"🟠 High",IF(W19&gt;=15,"🟡 Medium","🟢 Low"))))</f>
        <v/>
      </c>
      <c r="Y19" s="16" t="n"/>
      <c r="Z19" s="16" t="n"/>
      <c r="AA19" s="16" t="n"/>
      <c r="AB19" s="16" t="n"/>
    </row>
    <row r="20" ht="28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5">
        <f>IF(K20*Q20*V20=0,"",K20*Q20*V20)</f>
        <v/>
      </c>
      <c r="X20" s="26">
        <f>IF(W20="","",IF(W20&gt;=75,"🔴 Critical",IF(W20&gt;=40,"🟠 High",IF(W20&gt;=15,"🟡 Medium","🟢 Low"))))</f>
        <v/>
      </c>
      <c r="Y20" s="20" t="n"/>
      <c r="Z20" s="20" t="n"/>
      <c r="AA20" s="20" t="n"/>
      <c r="AB20" s="20" t="n"/>
    </row>
    <row r="21" ht="28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>
        <f>IF(K21*Q21*V21=0,"",K21*Q21*V21)</f>
        <v/>
      </c>
      <c r="X21" s="26">
        <f>IF(W21="","",IF(W21&gt;=75,"🔴 Critical",IF(W21&gt;=40,"🟠 High",IF(W21&gt;=15,"🟡 Medium","🟢 Low"))))</f>
        <v/>
      </c>
      <c r="Y21" s="16" t="n"/>
      <c r="Z21" s="16" t="n"/>
      <c r="AA21" s="16" t="n"/>
      <c r="AB21" s="16" t="n"/>
    </row>
    <row r="22" ht="28" customHeight="1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5">
        <f>IF(K22*Q22*V22=0,"",K22*Q22*V22)</f>
        <v/>
      </c>
      <c r="X22" s="26">
        <f>IF(W22="","",IF(W22&gt;=75,"🔴 Critical",IF(W22&gt;=40,"🟠 High",IF(W22&gt;=15,"🟡 Medium","🟢 Low"))))</f>
        <v/>
      </c>
      <c r="Y22" s="20" t="n"/>
      <c r="Z22" s="20" t="n"/>
      <c r="AA22" s="20" t="n"/>
      <c r="AB22" s="20" t="n"/>
    </row>
    <row r="23" ht="28" customHeight="1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>
        <f>IF(K23*Q23*V23=0,"",K23*Q23*V23)</f>
        <v/>
      </c>
      <c r="X23" s="26">
        <f>IF(W23="","",IF(W23&gt;=75,"🔴 Critical",IF(W23&gt;=40,"🟠 High",IF(W23&gt;=15,"🟡 Medium","🟢 Low"))))</f>
        <v/>
      </c>
      <c r="Y23" s="16" t="n"/>
      <c r="Z23" s="16" t="n"/>
      <c r="AA23" s="16" t="n"/>
      <c r="AB23" s="16" t="n"/>
    </row>
    <row r="24" ht="28" customHeight="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5">
        <f>IF(K24*Q24*V24=0,"",K24*Q24*V24)</f>
        <v/>
      </c>
      <c r="X24" s="26">
        <f>IF(W24="","",IF(W24&gt;=75,"🔴 Critical",IF(W24&gt;=40,"🟠 High",IF(W24&gt;=15,"🟡 Medium","🟢 Low"))))</f>
        <v/>
      </c>
      <c r="Y24" s="20" t="n"/>
      <c r="Z24" s="20" t="n"/>
      <c r="AA24" s="20" t="n"/>
      <c r="AB24" s="20" t="n"/>
    </row>
    <row r="25" ht="28" customHeight="1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>
        <f>IF(K25*Q25*V25=0,"",K25*Q25*V25)</f>
        <v/>
      </c>
      <c r="X25" s="26">
        <f>IF(W25="","",IF(W25&gt;=75,"🔴 Critical",IF(W25&gt;=40,"🟠 High",IF(W25&gt;=15,"🟡 Medium","🟢 Low"))))</f>
        <v/>
      </c>
      <c r="Y25" s="16" t="n"/>
      <c r="Z25" s="16" t="n"/>
      <c r="AA25" s="16" t="n"/>
      <c r="AB25" s="16" t="n"/>
    </row>
    <row r="26" ht="28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5">
        <f>IF(K26*Q26*V26=0,"",K26*Q26*V26)</f>
        <v/>
      </c>
      <c r="X26" s="26">
        <f>IF(W26="","",IF(W26&gt;=75,"🔴 Critical",IF(W26&gt;=40,"🟠 High",IF(W26&gt;=15,"🟡 Medium","🟢 Low"))))</f>
        <v/>
      </c>
      <c r="Y26" s="20" t="n"/>
      <c r="Z26" s="20" t="n"/>
      <c r="AA26" s="20" t="n"/>
      <c r="AB26" s="20" t="n"/>
    </row>
    <row r="27" ht="28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>
        <f>IF(K27*Q27*V27=0,"",K27*Q27*V27)</f>
        <v/>
      </c>
      <c r="X27" s="26">
        <f>IF(W27="","",IF(W27&gt;=75,"🔴 Critical",IF(W27&gt;=40,"🟠 High",IF(W27&gt;=15,"🟡 Medium","🟢 Low"))))</f>
        <v/>
      </c>
      <c r="Y27" s="16" t="n"/>
      <c r="Z27" s="16" t="n"/>
      <c r="AA27" s="16" t="n"/>
      <c r="AB27" s="16" t="n"/>
    </row>
    <row r="28" ht="28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5">
        <f>IF(K28*Q28*V28=0,"",K28*Q28*V28)</f>
        <v/>
      </c>
      <c r="X28" s="26">
        <f>IF(W28="","",IF(W28&gt;=75,"🔴 Critical",IF(W28&gt;=40,"🟠 High",IF(W28&gt;=15,"🟡 Medium","🟢 Low"))))</f>
        <v/>
      </c>
      <c r="Y28" s="20" t="n"/>
      <c r="Z28" s="20" t="n"/>
      <c r="AA28" s="20" t="n"/>
      <c r="AB28" s="20" t="n"/>
    </row>
    <row r="29" ht="28" customHeight="1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>
        <f>IF(K29*Q29*V29=0,"",K29*Q29*V29)</f>
        <v/>
      </c>
      <c r="X29" s="26">
        <f>IF(W29="","",IF(W29&gt;=75,"🔴 Critical",IF(W29&gt;=40,"🟠 High",IF(W29&gt;=15,"🟡 Medium","🟢 Low"))))</f>
        <v/>
      </c>
      <c r="Y29" s="16" t="n"/>
      <c r="Z29" s="16" t="n"/>
      <c r="AA29" s="16" t="n"/>
      <c r="AB29" s="16" t="n"/>
    </row>
    <row r="30" ht="28" customHeight="1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5">
        <f>IF(K30*Q30*V30=0,"",K30*Q30*V30)</f>
        <v/>
      </c>
      <c r="X30" s="26">
        <f>IF(W30="","",IF(W30&gt;=75,"🔴 Critical",IF(W30&gt;=40,"🟠 High",IF(W30&gt;=15,"🟡 Medium","🟢 Low"))))</f>
        <v/>
      </c>
      <c r="Y30" s="20" t="n"/>
      <c r="Z30" s="20" t="n"/>
      <c r="AA30" s="20" t="n"/>
      <c r="AB30" s="20" t="n"/>
    </row>
    <row r="31" ht="28" customHeight="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>
        <f>IF(K31*Q31*V31=0,"",K31*Q31*V31)</f>
        <v/>
      </c>
      <c r="X31" s="26">
        <f>IF(W31="","",IF(W31&gt;=75,"🔴 Critical",IF(W31&gt;=40,"🟠 High",IF(W31&gt;=15,"🟡 Medium","🟢 Low"))))</f>
        <v/>
      </c>
      <c r="Y31" s="16" t="n"/>
      <c r="Z31" s="16" t="n"/>
      <c r="AA31" s="16" t="n"/>
      <c r="AB31" s="16" t="n"/>
    </row>
    <row r="32" ht="28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5">
        <f>IF(K32*Q32*V32=0,"",K32*Q32*V32)</f>
        <v/>
      </c>
      <c r="X32" s="26">
        <f>IF(W32="","",IF(W32&gt;=75,"🔴 Critical",IF(W32&gt;=40,"🟠 High",IF(W32&gt;=15,"🟡 Medium","🟢 Low"))))</f>
        <v/>
      </c>
      <c r="Y32" s="20" t="n"/>
      <c r="Z32" s="20" t="n"/>
      <c r="AA32" s="20" t="n"/>
      <c r="AB32" s="20" t="n"/>
    </row>
    <row r="33" ht="28" customHeight="1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>
        <f>IF(K33*Q33*V33=0,"",K33*Q33*V33)</f>
        <v/>
      </c>
      <c r="X33" s="26">
        <f>IF(W33="","",IF(W33&gt;=75,"🔴 Critical",IF(W33&gt;=40,"🟠 High",IF(W33&gt;=15,"🟡 Medium","🟢 Low"))))</f>
        <v/>
      </c>
      <c r="Y33" s="16" t="n"/>
      <c r="Z33" s="16" t="n"/>
      <c r="AA33" s="16" t="n"/>
      <c r="AB33" s="16" t="n"/>
    </row>
    <row r="34" ht="28" customHeight="1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5">
        <f>IF(K34*Q34*V34=0,"",K34*Q34*V34)</f>
        <v/>
      </c>
      <c r="X34" s="26">
        <f>IF(W34="","",IF(W34&gt;=75,"🔴 Critical",IF(W34&gt;=40,"🟠 High",IF(W34&gt;=15,"🟡 Medium","🟢 Low"))))</f>
        <v/>
      </c>
      <c r="Y34" s="20" t="n"/>
      <c r="Z34" s="20" t="n"/>
      <c r="AA34" s="20" t="n"/>
      <c r="AB34" s="20" t="n"/>
    </row>
    <row r="35" ht="28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>
        <f>IF(K35*Q35*V35=0,"",K35*Q35*V35)</f>
        <v/>
      </c>
      <c r="X35" s="26">
        <f>IF(W35="","",IF(W35&gt;=75,"🔴 Critical",IF(W35&gt;=40,"🟠 High",IF(W35&gt;=15,"🟡 Medium","🟢 Low"))))</f>
        <v/>
      </c>
      <c r="Y35" s="16" t="n"/>
      <c r="Z35" s="16" t="n"/>
      <c r="AA35" s="16" t="n"/>
      <c r="AB35" s="16" t="n"/>
    </row>
    <row r="36" ht="28" customHeight="1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5">
        <f>IF(K36*Q36*V36=0,"",K36*Q36*V36)</f>
        <v/>
      </c>
      <c r="X36" s="26">
        <f>IF(W36="","",IF(W36&gt;=75,"🔴 Critical",IF(W36&gt;=40,"🟠 High",IF(W36&gt;=15,"🟡 Medium","🟢 Low"))))</f>
        <v/>
      </c>
      <c r="Y36" s="20" t="n"/>
      <c r="Z36" s="20" t="n"/>
      <c r="AA36" s="20" t="n"/>
      <c r="AB36" s="20" t="n"/>
    </row>
    <row r="37" ht="28" customHeight="1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>
        <f>IF(K37*Q37*V37=0,"",K37*Q37*V37)</f>
        <v/>
      </c>
      <c r="X37" s="26">
        <f>IF(W37="","",IF(W37&gt;=75,"🔴 Critical",IF(W37&gt;=40,"🟠 High",IF(W37&gt;=15,"🟡 Medium","🟢 Low"))))</f>
        <v/>
      </c>
      <c r="Y37" s="16" t="n"/>
      <c r="Z37" s="16" t="n"/>
      <c r="AA37" s="16" t="n"/>
      <c r="AB37" s="16" t="n"/>
    </row>
    <row r="38" ht="28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5">
        <f>IF(K38*Q38*V38=0,"",K38*Q38*V38)</f>
        <v/>
      </c>
      <c r="X38" s="26">
        <f>IF(W38="","",IF(W38&gt;=75,"🔴 Critical",IF(W38&gt;=40,"🟠 High",IF(W38&gt;=15,"🟡 Medium","🟢 Low"))))</f>
        <v/>
      </c>
      <c r="Y38" s="20" t="n"/>
      <c r="Z38" s="20" t="n"/>
      <c r="AA38" s="20" t="n"/>
      <c r="AB38" s="20" t="n"/>
    </row>
    <row r="39" ht="28" customHeight="1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>
        <f>IF(K39*Q39*V39=0,"",K39*Q39*V39)</f>
        <v/>
      </c>
      <c r="X39" s="26">
        <f>IF(W39="","",IF(W39&gt;=75,"🔴 Critical",IF(W39&gt;=40,"🟠 High",IF(W39&gt;=15,"🟡 Medium","🟢 Low"))))</f>
        <v/>
      </c>
      <c r="Y39" s="16" t="n"/>
      <c r="Z39" s="16" t="n"/>
      <c r="AA39" s="16" t="n"/>
      <c r="AB39" s="16" t="n"/>
    </row>
    <row r="40" ht="28" customHeight="1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5">
        <f>IF(K40*Q40*V40=0,"",K40*Q40*V40)</f>
        <v/>
      </c>
      <c r="X40" s="26">
        <f>IF(W40="","",IF(W40&gt;=75,"🔴 Critical",IF(W40&gt;=40,"🟠 High",IF(W40&gt;=15,"🟡 Medium","🟢 Low"))))</f>
        <v/>
      </c>
      <c r="Y40" s="20" t="n"/>
      <c r="Z40" s="20" t="n"/>
      <c r="AA40" s="20" t="n"/>
      <c r="AB40" s="20" t="n"/>
    </row>
    <row r="41" ht="28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>
        <f>IF(K41*Q41*V41=0,"",K41*Q41*V41)</f>
        <v/>
      </c>
      <c r="X41" s="26">
        <f>IF(W41="","",IF(W41&gt;=75,"🔴 Critical",IF(W41&gt;=40,"🟠 High",IF(W41&gt;=15,"🟡 Medium","🟢 Low"))))</f>
        <v/>
      </c>
      <c r="Y41" s="16" t="n"/>
      <c r="Z41" s="16" t="n"/>
      <c r="AA41" s="16" t="n"/>
      <c r="AB41" s="16" t="n"/>
    </row>
    <row r="42" ht="28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5">
        <f>IF(K42*Q42*V42=0,"",K42*Q42*V42)</f>
        <v/>
      </c>
      <c r="X42" s="26">
        <f>IF(W42="","",IF(W42&gt;=75,"🔴 Critical",IF(W42&gt;=40,"🟠 High",IF(W42&gt;=15,"🟡 Medium","🟢 Low"))))</f>
        <v/>
      </c>
      <c r="Y42" s="20" t="n"/>
      <c r="Z42" s="20" t="n"/>
      <c r="AA42" s="20" t="n"/>
      <c r="AB42" s="20" t="n"/>
    </row>
    <row r="43" ht="28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>
        <f>IF(K43*Q43*V43=0,"",K43*Q43*V43)</f>
        <v/>
      </c>
      <c r="X43" s="26">
        <f>IF(W43="","",IF(W43&gt;=75,"🔴 Critical",IF(W43&gt;=40,"🟠 High",IF(W43&gt;=15,"🟡 Medium","🟢 Low"))))</f>
        <v/>
      </c>
      <c r="Y43" s="16" t="n"/>
      <c r="Z43" s="16" t="n"/>
      <c r="AA43" s="16" t="n"/>
      <c r="AB43" s="16" t="n"/>
    </row>
    <row r="44" ht="28" customHeight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5">
        <f>IF(K44*Q44*V44=0,"",K44*Q44*V44)</f>
        <v/>
      </c>
      <c r="X44" s="26">
        <f>IF(W44="","",IF(W44&gt;=75,"🔴 Critical",IF(W44&gt;=40,"🟠 High",IF(W44&gt;=15,"🟡 Medium","🟢 Low"))))</f>
        <v/>
      </c>
      <c r="Y44" s="20" t="n"/>
      <c r="Z44" s="20" t="n"/>
      <c r="AA44" s="20" t="n"/>
      <c r="AB44" s="20" t="n"/>
    </row>
    <row r="45" ht="28" customHeight="1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>
        <f>IF(K45*Q45*V45=0,"",K45*Q45*V45)</f>
        <v/>
      </c>
      <c r="X45" s="26">
        <f>IF(W45="","",IF(W45&gt;=75,"🔴 Critical",IF(W45&gt;=40,"🟠 High",IF(W45&gt;=15,"🟡 Medium","🟢 Low"))))</f>
        <v/>
      </c>
      <c r="Y45" s="16" t="n"/>
      <c r="Z45" s="16" t="n"/>
      <c r="AA45" s="16" t="n"/>
      <c r="AB45" s="16" t="n"/>
    </row>
    <row r="46" ht="28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5">
        <f>IF(K46*Q46*V46=0,"",K46*Q46*V46)</f>
        <v/>
      </c>
      <c r="X46" s="26">
        <f>IF(W46="","",IF(W46&gt;=75,"🔴 Critical",IF(W46&gt;=40,"🟠 High",IF(W46&gt;=15,"🟡 Medium","🟢 Low"))))</f>
        <v/>
      </c>
      <c r="Y46" s="20" t="n"/>
      <c r="Z46" s="20" t="n"/>
      <c r="AA46" s="20" t="n"/>
      <c r="AB46" s="20" t="n"/>
    </row>
    <row r="47" ht="28" customHeight="1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>
        <f>IF(K47*Q47*V47=0,"",K47*Q47*V47)</f>
        <v/>
      </c>
      <c r="X47" s="26">
        <f>IF(W47="","",IF(W47&gt;=75,"🔴 Critical",IF(W47&gt;=40,"🟠 High",IF(W47&gt;=15,"🟡 Medium","🟢 Low"))))</f>
        <v/>
      </c>
      <c r="Y47" s="16" t="n"/>
      <c r="Z47" s="16" t="n"/>
      <c r="AA47" s="16" t="n"/>
      <c r="AB47" s="16" t="n"/>
    </row>
    <row r="48" ht="28" customHeight="1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5">
        <f>IF(K48*Q48*V48=0,"",K48*Q48*V48)</f>
        <v/>
      </c>
      <c r="X48" s="26">
        <f>IF(W48="","",IF(W48&gt;=75,"🔴 Critical",IF(W48&gt;=40,"🟠 High",IF(W48&gt;=15,"🟡 Medium","🟢 Low"))))</f>
        <v/>
      </c>
      <c r="Y48" s="20" t="n"/>
      <c r="Z48" s="20" t="n"/>
      <c r="AA48" s="20" t="n"/>
      <c r="AB48" s="20" t="n"/>
    </row>
    <row r="49" ht="28" customHeight="1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>
        <f>IF(K49*Q49*V49=0,"",K49*Q49*V49)</f>
        <v/>
      </c>
      <c r="X49" s="26">
        <f>IF(W49="","",IF(W49&gt;=75,"🔴 Critical",IF(W49&gt;=40,"🟠 High",IF(W49&gt;=15,"🟡 Medium","🟢 Low"))))</f>
        <v/>
      </c>
      <c r="Y49" s="16" t="n"/>
      <c r="Z49" s="16" t="n"/>
      <c r="AA49" s="16" t="n"/>
      <c r="AB49" s="16" t="n"/>
    </row>
    <row r="50" ht="28" customHeight="1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5">
        <f>IF(K50*Q50*V50=0,"",K50*Q50*V50)</f>
        <v/>
      </c>
      <c r="X50" s="26">
        <f>IF(W50="","",IF(W50&gt;=75,"🔴 Critical",IF(W50&gt;=40,"🟠 High",IF(W50&gt;=15,"🟡 Medium","🟢 Low"))))</f>
        <v/>
      </c>
      <c r="Y50" s="20" t="n"/>
      <c r="Z50" s="20" t="n"/>
      <c r="AA50" s="20" t="n"/>
      <c r="AB50" s="20" t="n"/>
    </row>
    <row r="51" ht="28" customHeight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5">
        <f>IF(K51*Q51*V51=0,"",K51*Q51*V51)</f>
        <v/>
      </c>
      <c r="X51" s="26">
        <f>IF(W51="","",IF(W51&gt;=75,"🔴 Critical",IF(W51&gt;=40,"🟠 High",IF(W51&gt;=15,"🟡 Medium","🟢 Low"))))</f>
        <v/>
      </c>
      <c r="Y51" s="16" t="n"/>
      <c r="Z51" s="16" t="n"/>
      <c r="AA51" s="16" t="n"/>
      <c r="AB51" s="16" t="n"/>
    </row>
    <row r="52" ht="28" customHeight="1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5">
        <f>IF(K52*Q52*V52=0,"",K52*Q52*V52)</f>
        <v/>
      </c>
      <c r="X52" s="26">
        <f>IF(W52="","",IF(W52&gt;=75,"🔴 Critical",IF(W52&gt;=40,"🟠 High",IF(W52&gt;=15,"🟡 Medium","🟢 Low"))))</f>
        <v/>
      </c>
      <c r="Y52" s="20" t="n"/>
      <c r="Z52" s="20" t="n"/>
      <c r="AA52" s="20" t="n"/>
      <c r="AB52" s="20" t="n"/>
    </row>
    <row r="53" ht="28" customHeight="1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5">
        <f>IF(K53*Q53*V53=0,"",K53*Q53*V53)</f>
        <v/>
      </c>
      <c r="X53" s="26">
        <f>IF(W53="","",IF(W53&gt;=75,"🔴 Critical",IF(W53&gt;=40,"🟠 High",IF(W53&gt;=15,"🟡 Medium","🟢 Low"))))</f>
        <v/>
      </c>
      <c r="Y53" s="16" t="n"/>
      <c r="Z53" s="16" t="n"/>
      <c r="AA53" s="16" t="n"/>
      <c r="AB53" s="16" t="n"/>
    </row>
    <row r="54" ht="28" customHeight="1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5">
        <f>IF(K54*Q54*V54=0,"",K54*Q54*V54)</f>
        <v/>
      </c>
      <c r="X54" s="26">
        <f>IF(W54="","",IF(W54&gt;=75,"🔴 Critical",IF(W54&gt;=40,"🟠 High",IF(W54&gt;=15,"🟡 Medium","🟢 Low"))))</f>
        <v/>
      </c>
      <c r="Y54" s="20" t="n"/>
      <c r="Z54" s="20" t="n"/>
      <c r="AA54" s="20" t="n"/>
      <c r="AB54" s="20" t="n"/>
    </row>
    <row r="55" ht="28" customHeight="1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5">
        <f>IF(K55*Q55*V55=0,"",K55*Q55*V55)</f>
        <v/>
      </c>
      <c r="X55" s="26">
        <f>IF(W55="","",IF(W55&gt;=75,"🔴 Critical",IF(W55&gt;=40,"🟠 High",IF(W55&gt;=15,"🟡 Medium","🟢 Low"))))</f>
        <v/>
      </c>
      <c r="Y55" s="16" t="n"/>
      <c r="Z55" s="16" t="n"/>
      <c r="AA55" s="16" t="n"/>
      <c r="AB55" s="16" t="n"/>
    </row>
    <row r="56" ht="28" customHeight="1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5">
        <f>IF(K56*Q56*V56=0,"",K56*Q56*V56)</f>
        <v/>
      </c>
      <c r="X56" s="26">
        <f>IF(W56="","",IF(W56&gt;=75,"🔴 Critical",IF(W56&gt;=40,"🟠 High",IF(W56&gt;=15,"🟡 Medium","🟢 Low"))))</f>
        <v/>
      </c>
      <c r="Y56" s="20" t="n"/>
      <c r="Z56" s="20" t="n"/>
      <c r="AA56" s="20" t="n"/>
      <c r="AB56" s="20" t="n"/>
    </row>
    <row r="57" ht="28" customHeight="1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5">
        <f>IF(K57*Q57*V57=0,"",K57*Q57*V57)</f>
        <v/>
      </c>
      <c r="X57" s="26">
        <f>IF(W57="","",IF(W57&gt;=75,"🔴 Critical",IF(W57&gt;=40,"🟠 High",IF(W57&gt;=15,"🟡 Medium","🟢 Low"))))</f>
        <v/>
      </c>
      <c r="Y57" s="16" t="n"/>
      <c r="Z57" s="16" t="n"/>
      <c r="AA57" s="16" t="n"/>
      <c r="AB57" s="16" t="n"/>
    </row>
    <row r="58" ht="28" customHeight="1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5">
        <f>IF(K58*Q58*V58=0,"",K58*Q58*V58)</f>
        <v/>
      </c>
      <c r="X58" s="26">
        <f>IF(W58="","",IF(W58&gt;=75,"🔴 Critical",IF(W58&gt;=40,"🟠 High",IF(W58&gt;=15,"🟡 Medium","🟢 Low"))))</f>
        <v/>
      </c>
      <c r="Y58" s="20" t="n"/>
      <c r="Z58" s="20" t="n"/>
      <c r="AA58" s="20" t="n"/>
      <c r="AB58" s="20" t="n"/>
    </row>
    <row r="59" ht="28" customHeight="1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5">
        <f>IF(K59*Q59*V59=0,"",K59*Q59*V59)</f>
        <v/>
      </c>
      <c r="X59" s="26">
        <f>IF(W59="","",IF(W59&gt;=75,"🔴 Critical",IF(W59&gt;=40,"🟠 High",IF(W59&gt;=15,"🟡 Medium","🟢 Low"))))</f>
        <v/>
      </c>
      <c r="Y59" s="16" t="n"/>
      <c r="Z59" s="16" t="n"/>
      <c r="AA59" s="16" t="n"/>
      <c r="AB59" s="16" t="n"/>
    </row>
  </sheetData>
  <mergeCells count="6">
    <mergeCell ref="A2:AB2"/>
    <mergeCell ref="W3:AB3"/>
    <mergeCell ref="R3:V3"/>
    <mergeCell ref="L3:Q3"/>
    <mergeCell ref="F3:K3"/>
    <mergeCell ref="A3:E3"/>
  </mergeCells>
  <dataValidations count="18">
    <dataValidation sqref="C5:C59" showDropDown="0" showInputMessage="0" showErrorMessage="0" allowBlank="1" type="list">
      <formula1>"PLC,RTU,DCS Controller,HMI,Engineering WS,Historian,Firewall,Switch/Router,Sensor/Actuator,4G Modem,Safety System,Other"</formula1>
    </dataValidation>
    <dataValidation sqref="D5:D59" showDropDown="0" showInputMessage="0" showErrorMessage="0" allowBlank="1" type="list">
      <formula1>"0,1,2,3,4"</formula1>
    </dataValidation>
    <dataValidation sqref="E5:E59" showDropDown="0" showInputMessage="0" showErrorMessage="0" allowBlank="1" type="list">
      <formula1>"OT Zone 1,OT Zone 2,OT Zone 3,IT/OT DMZ,Field,Safety Zone,Corporate IT"</formula1>
    </dataValidation>
    <dataValidation sqref="F5:F59" showDropDown="0" showInputMessage="0" showErrorMessage="0" allowBlank="1" type="list">
      <formula1>"Yes,No,Partial,Unknown"</formula1>
    </dataValidation>
    <dataValidation sqref="H5:H59" showDropDown="0" showInputMessage="0" showErrorMessage="0" allowBlank="1" type="list">
      <formula1>"Active,Extended Support,EOL,UNDOCUMENTED,Unknown"</formula1>
    </dataValidation>
    <dataValidation sqref="I5:I59" showDropDown="0" showInputMessage="0" showErrorMessage="0" allowBlank="1" type="list">
      <formula1>"Yes,No,Partial,Unknown"</formula1>
    </dataValidation>
    <dataValidation sqref="J5:J59" showDropDown="0" showInputMessage="0" showErrorMessage="0" allowBlank="1" type="list">
      <formula1>"Yes,No,Unknown"</formula1>
    </dataValidation>
    <dataValidation sqref="K5:K59" showDropDown="0" showInputMessage="0" showErrorMessage="0" allowBlank="1" type="list">
      <formula1>"1,2,3,4,5"</formula1>
    </dataValidation>
    <dataValidation sqref="M5:M59" showDropDown="0" showInputMessage="0" showErrorMessage="0" allowBlank="1" type="list">
      <formula1>"Yes — SIL 1,Yes — SIL 2,Yes — SIL 3,Yes — SIL 4,No,Unknown"</formula1>
    </dataValidation>
    <dataValidation sqref="O5:O59" showDropDown="0" showInputMessage="0" showErrorMessage="0" allowBlank="1" type="list">
      <formula1>"Yes,No,N/A,Unknown"</formula1>
    </dataValidation>
    <dataValidation sqref="P5:P59" showDropDown="0" showInputMessage="0" showErrorMessage="0" allowBlank="1" type="list">
      <formula1>"Low,Medium,High,Unknown"</formula1>
    </dataValidation>
    <dataValidation sqref="Q5:Q59" showDropDown="0" showInputMessage="0" showErrorMessage="0" allowBlank="1" type="list">
      <formula1>"1,2,3,4,5"</formula1>
    </dataValidation>
    <dataValidation sqref="R5:R59" showDropDown="0" showInputMessage="0" showErrorMessage="0" allowBlank="1" type="list">
      <formula1>"Yes,No,Partial,Unknown"</formula1>
    </dataValidation>
    <dataValidation sqref="S5:S59" showDropDown="0" showInputMessage="0" showErrorMessage="0" allowBlank="1" type="list">
      <formula1>"Yes,No,Unknown"</formula1>
    </dataValidation>
    <dataValidation sqref="T5:T59" showDropDown="0" showInputMessage="0" showErrorMessage="0" allowBlank="1" type="list">
      <formula1>"Yes,No,Unknown"</formula1>
    </dataValidation>
    <dataValidation sqref="U5:U59" showDropDown="0" showInputMessage="0" showErrorMessage="0" allowBlank="1" type="list">
      <formula1>"Controlled,Uncontrolled,Partial,Unknown"</formula1>
    </dataValidation>
    <dataValidation sqref="V5:V59" showDropDown="0" showInputMessage="0" showErrorMessage="0" allowBlank="1" type="list">
      <formula1>"1,2,3,4,5"</formula1>
    </dataValidation>
    <dataValidation sqref="AB5:AB59" showDropDown="0" showInputMessage="0" showErrorMessage="0" allowBlank="1" type="list">
      <formula1>"Not Started,Planned,In Progress,Complete,Monitoring,Urgent,On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30" customWidth="1" min="4" max="4"/>
    <col width="13" customWidth="1" min="5" max="5"/>
    <col width="16" customWidth="1" min="6" max="6"/>
    <col width="22" customWidth="1" min="7" max="7"/>
    <col width="22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8" customHeight="1"/>
    <row r="2" ht="42" customHeight="1">
      <c r="A2" s="11" t="inlineStr">
        <is>
          <t>🗺️  Security Zone Map &amp; Conduit Register  |  Phase 1  |  IEC 62443 Zone &amp; Conduit Model  |  [MtU #02]</t>
        </is>
      </c>
    </row>
    <row r="3" ht="38" customHeight="1">
      <c r="A3" s="27" t="inlineStr">
        <is>
          <t>Zone ID</t>
        </is>
      </c>
      <c r="B3" s="27" t="inlineStr">
        <is>
          <t>Zone Name</t>
        </is>
      </c>
      <c r="C3" s="27" t="inlineStr">
        <is>
          <t>Purdue Level(s)</t>
        </is>
      </c>
      <c r="D3" s="27" t="inlineStr">
        <is>
          <t>Assets in Zone</t>
        </is>
      </c>
      <c r="E3" s="27" t="inlineStr">
        <is>
          <t>Asset Count</t>
        </is>
      </c>
      <c r="F3" s="27" t="inlineStr">
        <is>
          <t>Zone Risk Level</t>
        </is>
      </c>
      <c r="G3" s="27" t="inlineStr">
        <is>
          <t>Connected Zones</t>
        </is>
      </c>
      <c r="H3" s="27" t="inlineStr">
        <is>
          <t>Conduit / Path</t>
        </is>
      </c>
      <c r="I3" s="27" t="inlineStr">
        <is>
          <t>Conduit Encrypted?</t>
        </is>
      </c>
      <c r="J3" s="27" t="inlineStr">
        <is>
          <t>Conduit Authenticated?</t>
        </is>
      </c>
      <c r="K3" s="27" t="inlineStr">
        <is>
          <t>Firewall / Control?</t>
        </is>
      </c>
      <c r="L3" s="27" t="inlineStr">
        <is>
          <t>Key Risk Notes</t>
        </is>
      </c>
    </row>
    <row r="4" ht="48" customHeight="1">
      <c r="A4" s="20" t="inlineStr">
        <is>
          <t>Z-01</t>
        </is>
      </c>
      <c r="B4" s="20" t="inlineStr">
        <is>
          <t>OT Zone 1</t>
        </is>
      </c>
      <c r="C4" s="20" t="inlineStr">
        <is>
          <t>0,1,2</t>
        </is>
      </c>
      <c r="D4" s="20" t="inlineStr">
        <is>
          <t>ICS-001, ICS-002, ICS-004</t>
        </is>
      </c>
      <c r="E4" s="20" t="n">
        <v>3</v>
      </c>
      <c r="F4" s="28" t="inlineStr">
        <is>
          <t>🟠 High</t>
        </is>
      </c>
      <c r="G4" s="20" t="inlineStr">
        <is>
          <t>OT Zone 2, IT/OT DMZ</t>
        </is>
      </c>
      <c r="H4" s="20" t="inlineStr">
        <is>
          <t>PROFIBUS / EtherNet/IP</t>
        </is>
      </c>
      <c r="I4" s="20" t="inlineStr">
        <is>
          <t>No</t>
        </is>
      </c>
      <c r="J4" s="20" t="inlineStr">
        <is>
          <t>No</t>
        </is>
      </c>
      <c r="K4" s="20" t="inlineStr">
        <is>
          <t>Partial</t>
        </is>
      </c>
      <c r="L4" s="20" t="inlineStr">
        <is>
          <t>EOL PLC and HMI present. No encryption on PROFIBUS. HMI running Win7. Priority remediation zone.</t>
        </is>
      </c>
    </row>
    <row r="5" ht="48" customHeight="1">
      <c r="A5" s="16" t="inlineStr">
        <is>
          <t>Z-02</t>
        </is>
      </c>
      <c r="B5" s="16" t="inlineStr">
        <is>
          <t>OT Zone 2</t>
        </is>
      </c>
      <c r="C5" s="16" t="inlineStr">
        <is>
          <t>0,1</t>
        </is>
      </c>
      <c r="D5" s="16" t="inlineStr">
        <is>
          <t>ICS-003, ICS-010</t>
        </is>
      </c>
      <c r="E5" s="16" t="n">
        <v>2</v>
      </c>
      <c r="F5" s="29" t="inlineStr">
        <is>
          <t>🔴 Critical</t>
        </is>
      </c>
      <c r="G5" s="16" t="inlineStr">
        <is>
          <t>OT Zone 1, External (undocumented)</t>
        </is>
      </c>
      <c r="H5" s="16" t="inlineStr">
        <is>
          <t>DNP3 / Modbus RTU / Cellular</t>
        </is>
      </c>
      <c r="I5" s="16" t="inlineStr">
        <is>
          <t>No</t>
        </is>
      </c>
      <c r="J5" s="16" t="inlineStr">
        <is>
          <t>No</t>
        </is>
      </c>
      <c r="K5" s="16" t="inlineStr">
        <is>
          <t>None</t>
        </is>
      </c>
      <c r="L5" s="16" t="inlineStr">
        <is>
          <t>Undocumented 4G modem creates uncontrolled external conduit. Disconnect immediately. Highest risk zone.</t>
        </is>
      </c>
    </row>
    <row r="6" ht="48" customHeight="1">
      <c r="A6" s="20" t="inlineStr">
        <is>
          <t>Z-03</t>
        </is>
      </c>
      <c r="B6" s="20" t="inlineStr">
        <is>
          <t>OT Zone 3</t>
        </is>
      </c>
      <c r="C6" s="20" t="inlineStr">
        <is>
          <t>0,1</t>
        </is>
      </c>
      <c r="D6" s="20" t="inlineStr">
        <is>
          <t>ICS-006, ICS-008</t>
        </is>
      </c>
      <c r="E6" s="20" t="n">
        <v>2</v>
      </c>
      <c r="F6" s="30" t="inlineStr">
        <is>
          <t>🟡 Medium</t>
        </is>
      </c>
      <c r="G6" s="20" t="inlineStr">
        <is>
          <t>IT/OT DMZ</t>
        </is>
      </c>
      <c r="H6" s="20" t="inlineStr">
        <is>
          <t>HART / OPC-DA</t>
        </is>
      </c>
      <c r="I6" s="20" t="inlineStr">
        <is>
          <t>No</t>
        </is>
      </c>
      <c r="J6" s="20" t="inlineStr">
        <is>
          <t>No</t>
        </is>
      </c>
      <c r="K6" s="20" t="inlineStr">
        <is>
          <t>Yes</t>
        </is>
      </c>
      <c r="L6" s="20" t="inlineStr">
        <is>
          <t>SIL 2 DCS loop. All changes require MOC. Currently well-segmented but OPC-DA is unencrypted.</t>
        </is>
      </c>
    </row>
    <row r="7" ht="48" customHeight="1">
      <c r="A7" s="16" t="inlineStr">
        <is>
          <t>Z-04</t>
        </is>
      </c>
      <c r="B7" s="16" t="inlineStr">
        <is>
          <t>IT/OT DMZ</t>
        </is>
      </c>
      <c r="C7" s="16" t="inlineStr">
        <is>
          <t>2,3</t>
        </is>
      </c>
      <c r="D7" s="16" t="inlineStr">
        <is>
          <t>ICS-005, ICS-007, ICS-009</t>
        </is>
      </c>
      <c r="E7" s="16" t="n">
        <v>3</v>
      </c>
      <c r="F7" s="28" t="inlineStr">
        <is>
          <t>🟠 High</t>
        </is>
      </c>
      <c r="G7" s="16" t="inlineStr">
        <is>
          <t>OT Zone 1, OT Zone 3, Corporate IT</t>
        </is>
      </c>
      <c r="H7" s="16" t="inlineStr">
        <is>
          <t>OPC-DA / EtherNet/IP / RDP</t>
        </is>
      </c>
      <c r="I7" s="16" t="inlineStr">
        <is>
          <t>Partial</t>
        </is>
      </c>
      <c r="J7" s="16" t="inlineStr">
        <is>
          <t>Partial</t>
        </is>
      </c>
      <c r="K7" s="16" t="inlineStr">
        <is>
          <t>Yes</t>
        </is>
      </c>
      <c r="L7" s="16" t="inlineStr">
        <is>
          <t>Primary IT/OT bridge. Historian and EWS both present. Lateral movement risk. Firewall present but rules unreviewed.</t>
        </is>
      </c>
    </row>
    <row r="8" ht="48" customHeight="1">
      <c r="A8" s="20" t="inlineStr">
        <is>
          <t>Z-05</t>
        </is>
      </c>
      <c r="B8" s="20" t="inlineStr">
        <is>
          <t>Safety Zone</t>
        </is>
      </c>
      <c r="C8" s="20" t="inlineStr">
        <is>
          <t>1</t>
        </is>
      </c>
      <c r="D8" s="20" t="inlineStr">
        <is>
          <t>Safety systems (separate SIS)</t>
        </is>
      </c>
      <c r="E8" s="20" t="n">
        <v>0</v>
      </c>
      <c r="F8" s="30" t="inlineStr">
        <is>
          <t>🟡 Medium</t>
        </is>
      </c>
      <c r="G8" s="20" t="inlineStr">
        <is>
          <t>OT Zone 3 (limited)</t>
        </is>
      </c>
      <c r="H8" s="20" t="inlineStr">
        <is>
          <t>Hardwired / limited digital</t>
        </is>
      </c>
      <c r="I8" s="20" t="inlineStr">
        <is>
          <t>N/A</t>
        </is>
      </c>
      <c r="J8" s="20" t="inlineStr">
        <is>
          <t>N/A</t>
        </is>
      </c>
      <c r="K8" s="20" t="inlineStr">
        <is>
          <t>Physical only</t>
        </is>
      </c>
      <c r="L8" s="20" t="inlineStr">
        <is>
          <t>SIS independent of main OT network. Physical isolation maintained. Periodic review required.</t>
        </is>
      </c>
    </row>
    <row r="9" ht="36" customHeight="1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 ht="36" customHeight="1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 ht="36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 ht="36" customHeight="1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 ht="36" customHeight="1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 ht="36" customHeight="1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 ht="36" customHeight="1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 ht="36" customHeight="1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</row>
    <row r="17" ht="36" customHeight="1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 ht="36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 ht="36" customHeight="1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 ht="36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36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36" customHeight="1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36" customHeight="1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36" customHeight="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36" customHeight="1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 ht="36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 ht="36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 ht="36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 ht="36" customHeight="1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16" customWidth="1" min="5" max="5"/>
    <col width="16" customWidth="1" min="6" max="6"/>
    <col width="40" customWidth="1" min="7" max="7"/>
    <col width="40" customWidth="1" min="8" max="8"/>
    <col width="22" customWidth="1" min="9" max="9"/>
    <col width="14" customWidth="1" min="10" max="10"/>
    <col width="14" customWidth="1" min="11" max="11"/>
  </cols>
  <sheetData>
    <row r="1" ht="8" customHeight="1"/>
    <row r="2" ht="42" customHeight="1">
      <c r="A2" s="11" t="inlineStr">
        <is>
          <t>🏆  Prioritised Migration Shortlist  |  Phase 1 Output  |  [MtU #02]</t>
        </is>
      </c>
    </row>
    <row r="3" ht="38" customHeight="1">
      <c r="A3" s="27" t="inlineStr">
        <is>
          <t>Rank</t>
        </is>
      </c>
      <c r="B3" s="27" t="inlineStr">
        <is>
          <t>Asset ID</t>
        </is>
      </c>
      <c r="C3" s="27" t="inlineStr">
        <is>
          <t>Asset Name</t>
        </is>
      </c>
      <c r="D3" s="27" t="inlineStr">
        <is>
          <t>Zone</t>
        </is>
      </c>
      <c r="E3" s="27" t="inlineStr">
        <is>
          <t>Composite Score</t>
        </is>
      </c>
      <c r="F3" s="27" t="inlineStr">
        <is>
          <t>Priority Tier</t>
        </is>
      </c>
      <c r="G3" s="27" t="inlineStr">
        <is>
          <t>Key Risk Reason</t>
        </is>
      </c>
      <c r="H3" s="27" t="inlineStr">
        <is>
          <t>Recommended Action</t>
        </is>
      </c>
      <c r="I3" s="27" t="inlineStr">
        <is>
          <t>Owner</t>
        </is>
      </c>
      <c r="J3" s="27" t="inlineStr">
        <is>
          <t>Target Date</t>
        </is>
      </c>
      <c r="K3" s="27" t="inlineStr">
        <is>
          <t>Status</t>
        </is>
      </c>
    </row>
    <row r="4" ht="42" customHeight="1">
      <c r="A4" s="31" t="n">
        <v>1</v>
      </c>
      <c r="B4" s="20" t="inlineStr">
        <is>
          <t>ICS-010</t>
        </is>
      </c>
      <c r="C4" s="20" t="inlineStr">
        <is>
          <t>MODEM-4G-UNKN</t>
        </is>
      </c>
      <c r="D4" s="20" t="inlineStr">
        <is>
          <t>OT Zone 2</t>
        </is>
      </c>
      <c r="E4" s="23" t="n">
        <v>125</v>
      </c>
      <c r="F4" s="32" t="inlineStr">
        <is>
          <t>🔴 Critical</t>
        </is>
      </c>
      <c r="G4" s="20" t="inlineStr">
        <is>
          <t>Undocumented external access. Max score across all dimensions.</t>
        </is>
      </c>
      <c r="H4" s="20" t="inlineStr">
        <is>
          <t>PHYSICALLY DISCONNECT IMMEDIATELY. Full investigation required.</t>
        </is>
      </c>
      <c r="I4" s="20" t="inlineStr">
        <is>
          <t>OT Lead + Management</t>
        </is>
      </c>
      <c r="J4" s="20" t="inlineStr">
        <is>
          <t>IMMEDIATE</t>
        </is>
      </c>
      <c r="K4" s="20" t="inlineStr">
        <is>
          <t>Urgent</t>
        </is>
      </c>
    </row>
    <row r="5" ht="42" customHeight="1">
      <c r="A5" s="31" t="n">
        <v>2</v>
      </c>
      <c r="B5" s="16" t="inlineStr">
        <is>
          <t>ICS-004</t>
        </is>
      </c>
      <c r="C5" s="16" t="inlineStr">
        <is>
          <t>HMI-CTRL-01</t>
        </is>
      </c>
      <c r="D5" s="16" t="inlineStr">
        <is>
          <t>OT Zone 1</t>
        </is>
      </c>
      <c r="E5" s="22" t="n">
        <v>45</v>
      </c>
      <c r="F5" s="33" t="inlineStr">
        <is>
          <t>🟠 High</t>
        </is>
      </c>
      <c r="G5" s="16" t="inlineStr">
        <is>
          <t>EOL + Win7 + CVE-2021-37185. No patches since 2020.</t>
        </is>
      </c>
      <c r="H5" s="16" t="inlineStr">
        <is>
          <t>Replace HMI. Interim: physical access only, isolate from network.</t>
        </is>
      </c>
      <c r="I5" s="16" t="inlineStr">
        <is>
          <t>OT Engineer</t>
        </is>
      </c>
      <c r="J5" s="16" t="inlineStr">
        <is>
          <t>2025-04-30</t>
        </is>
      </c>
      <c r="K5" s="16" t="inlineStr">
        <is>
          <t>Planned</t>
        </is>
      </c>
    </row>
    <row r="6" ht="42" customHeight="1">
      <c r="A6" s="31" t="n">
        <v>3</v>
      </c>
      <c r="B6" s="20" t="inlineStr">
        <is>
          <t>ICS-003</t>
        </is>
      </c>
      <c r="C6" s="20" t="inlineStr">
        <is>
          <t>RTU-REMOTE-01</t>
        </is>
      </c>
      <c r="D6" s="20" t="inlineStr">
        <is>
          <t>OT Zone 2</t>
        </is>
      </c>
      <c r="E6" s="22" t="n">
        <v>60</v>
      </c>
      <c r="F6" s="33" t="inlineStr">
        <is>
          <t>🟠 High</t>
        </is>
      </c>
      <c r="G6" s="20" t="inlineStr">
        <is>
          <t>CVE-2022-37300 + undocumented 4G connection + no authentication.</t>
        </is>
      </c>
      <c r="H6" s="20" t="inlineStr">
        <is>
          <t>Patch CVE. Decommission modem. Enforce MFA. Review remote access policy.</t>
        </is>
      </c>
      <c r="I6" s="20" t="inlineStr">
        <is>
          <t>OT Lead + Security</t>
        </is>
      </c>
      <c r="J6" s="20" t="inlineStr">
        <is>
          <t>2025-03-31</t>
        </is>
      </c>
      <c r="K6" s="20" t="inlineStr">
        <is>
          <t>In Progress</t>
        </is>
      </c>
    </row>
    <row r="7" ht="42" customHeight="1">
      <c r="A7" s="31" t="n">
        <v>4</v>
      </c>
      <c r="B7" s="16" t="inlineStr">
        <is>
          <t>ICS-001</t>
        </is>
      </c>
      <c r="C7" s="16" t="inlineStr">
        <is>
          <t>PLC-UNIT-01</t>
        </is>
      </c>
      <c r="D7" s="16" t="inlineStr">
        <is>
          <t>OT Zone 1</t>
        </is>
      </c>
      <c r="E7" s="18" t="n">
        <v>36</v>
      </c>
      <c r="F7" s="34" t="inlineStr">
        <is>
          <t>🟠 High</t>
        </is>
      </c>
      <c r="G7" s="16" t="inlineStr">
        <is>
          <t>S7-300 EOL Dec 2024. CVE present. No manual override on controlled process.</t>
        </is>
      </c>
      <c r="H7" s="16" t="inlineStr">
        <is>
          <t>Plan S7-1500 replacement. Interim: VLAN isolation + compensating firewall rules.</t>
        </is>
      </c>
      <c r="I7" s="16" t="inlineStr">
        <is>
          <t>OT Engineer</t>
        </is>
      </c>
      <c r="J7" s="16" t="inlineStr">
        <is>
          <t>2025-06-30</t>
        </is>
      </c>
      <c r="K7" s="16" t="inlineStr">
        <is>
          <t>Planned</t>
        </is>
      </c>
    </row>
    <row r="8" ht="42" customHeight="1">
      <c r="A8" s="31" t="n">
        <v>5</v>
      </c>
      <c r="B8" s="20" t="inlineStr">
        <is>
          <t>ICS-007</t>
        </is>
      </c>
      <c r="C8" s="20" t="inlineStr">
        <is>
          <t>HIST-01</t>
        </is>
      </c>
      <c r="D8" s="20" t="inlineStr">
        <is>
          <t>IT/OT DMZ</t>
        </is>
      </c>
      <c r="E8" s="18" t="n">
        <v>24</v>
      </c>
      <c r="F8" s="34" t="inlineStr">
        <is>
          <t>🟡 Medium</t>
        </is>
      </c>
      <c r="G8" s="20" t="inlineStr">
        <is>
          <t>IT/OT bridge. CVE-2023-31409 unpatched. OPC-DA unencrypted.</t>
        </is>
      </c>
      <c r="H8" s="20" t="inlineStr">
        <is>
          <t>Patch CVE urgently. Full firewall ruleset audit. Consider OPC-UA migration.</t>
        </is>
      </c>
      <c r="I8" s="20" t="inlineStr">
        <is>
          <t>IT Security + OT</t>
        </is>
      </c>
      <c r="J8" s="20" t="inlineStr">
        <is>
          <t>2025-04-30</t>
        </is>
      </c>
      <c r="K8" s="20" t="inlineStr">
        <is>
          <t>Not Started</t>
        </is>
      </c>
    </row>
    <row r="9" ht="42" customHeight="1">
      <c r="A9" s="31" t="n">
        <v>6</v>
      </c>
      <c r="B9" s="16" t="inlineStr">
        <is>
          <t>ICS-005</t>
        </is>
      </c>
      <c r="C9" s="16" t="inlineStr">
        <is>
          <t>EWS-ENG-01</t>
        </is>
      </c>
      <c r="D9" s="16" t="inlineStr">
        <is>
          <t>IT/OT DMZ</t>
        </is>
      </c>
      <c r="E9" s="18" t="n">
        <v>24</v>
      </c>
      <c r="F9" s="34" t="inlineStr">
        <is>
          <t>🟡 Medium</t>
        </is>
      </c>
      <c r="G9" s="16" t="inlineStr">
        <is>
          <t>RDP to PLCs without MFA. High blast radius if compromised.</t>
        </is>
      </c>
      <c r="H9" s="16" t="inlineStr">
        <is>
          <t>Enforce MFA. IP restriction on RDP. Enable full audit logging.</t>
        </is>
      </c>
      <c r="I9" s="16" t="inlineStr">
        <is>
          <t>IT Security</t>
        </is>
      </c>
      <c r="J9" s="16" t="inlineStr">
        <is>
          <t>2025-05-31</t>
        </is>
      </c>
      <c r="K9" s="16" t="inlineStr">
        <is>
          <t>Not Started</t>
        </is>
      </c>
    </row>
    <row r="10" ht="42" customHeight="1">
      <c r="A10" s="31" t="n">
        <v>7</v>
      </c>
      <c r="B10" s="20" t="inlineStr">
        <is>
          <t>ICS-006</t>
        </is>
      </c>
      <c r="C10" s="20" t="inlineStr">
        <is>
          <t>DCS-NODE-01</t>
        </is>
      </c>
      <c r="D10" s="20" t="inlineStr">
        <is>
          <t>OT Zone 3</t>
        </is>
      </c>
      <c r="E10" s="18" t="n">
        <v>20</v>
      </c>
      <c r="F10" s="34" t="inlineStr">
        <is>
          <t>🟡 Medium</t>
        </is>
      </c>
      <c r="G10" s="20" t="inlineStr">
        <is>
          <t>SIL 2 — consequence score elevated. OPC-DA unencrypted on conduit.</t>
        </is>
      </c>
      <c r="H10" s="20" t="inlineStr">
        <is>
          <t>MOC process for all changes. Plan OPC-DA to OPC-UA migration in next maintenance.</t>
        </is>
      </c>
      <c r="I10" s="20" t="inlineStr">
        <is>
          <t>Safety Engineer</t>
        </is>
      </c>
      <c r="J10" s="20" t="inlineStr">
        <is>
          <t>2025-09-30</t>
        </is>
      </c>
      <c r="K10" s="20" t="inlineStr">
        <is>
          <t>Monitoring</t>
        </is>
      </c>
    </row>
    <row r="11" ht="42" customHeight="1">
      <c r="A11" s="31" t="n">
        <v>8</v>
      </c>
      <c r="B11" s="16" t="inlineStr">
        <is>
          <t>ICS-009</t>
        </is>
      </c>
      <c r="C11" s="16" t="inlineStr">
        <is>
          <t>FIREWALL-OT-01</t>
        </is>
      </c>
      <c r="D11" s="16" t="inlineStr">
        <is>
          <t>IT/OT DMZ</t>
        </is>
      </c>
      <c r="E11" s="18" t="n">
        <v>15</v>
      </c>
      <c r="F11" s="34" t="inlineStr">
        <is>
          <t>🟡 Medium</t>
        </is>
      </c>
      <c r="G11" s="16" t="inlineStr">
        <is>
          <t>Firewall rules unreviewed 12+ months. IDS signatures outdated.</t>
        </is>
      </c>
      <c r="H11" s="16" t="inlineStr">
        <is>
          <t>Full ruleset audit. Update IDS. Establish quarterly review cadence.</t>
        </is>
      </c>
      <c r="I11" s="16" t="inlineStr">
        <is>
          <t>IT Security</t>
        </is>
      </c>
      <c r="J11" s="16" t="inlineStr">
        <is>
          <t>2025-04-30</t>
        </is>
      </c>
      <c r="K11" s="16" t="inlineStr">
        <is>
          <t>Not Started</t>
        </is>
      </c>
    </row>
    <row r="12" ht="42" customHeight="1">
      <c r="A12" s="31" t="n">
        <v>9</v>
      </c>
      <c r="B12" s="20" t="inlineStr">
        <is>
          <t>ICS-002</t>
        </is>
      </c>
      <c r="C12" s="20" t="inlineStr">
        <is>
          <t>PLC-UNIT-02</t>
        </is>
      </c>
      <c r="D12" s="20" t="inlineStr">
        <is>
          <t>OT Zone 1</t>
        </is>
      </c>
      <c r="E12" s="21" t="n">
        <v>2</v>
      </c>
      <c r="F12" s="35" t="inlineStr">
        <is>
          <t>🟢 Low</t>
        </is>
      </c>
      <c r="G12" s="20" t="inlineStr">
        <is>
          <t>Active support, no CVEs, manual override available.</t>
        </is>
      </c>
      <c r="H12" s="20" t="inlineStr">
        <is>
          <t>Monitor. Firmware review Q4 2025. No urgent action required.</t>
        </is>
      </c>
      <c r="I12" s="20" t="inlineStr">
        <is>
          <t>OT Engineer</t>
        </is>
      </c>
      <c r="J12" s="20" t="inlineStr">
        <is>
          <t>2025-12-31</t>
        </is>
      </c>
      <c r="K12" s="20" t="inlineStr">
        <is>
          <t>Monitoring</t>
        </is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3" customWidth="1" min="4" max="4"/>
  </cols>
  <sheetData>
    <row r="1" ht="8" customHeight="1"/>
    <row r="2" ht="42" customHeight="1">
      <c r="A2" s="11" t="inlineStr">
        <is>
          <t>📖  Reference Guide  |  Scoring Rubrics, Consequence Scale &amp; Standards</t>
        </is>
      </c>
    </row>
    <row r="4" ht="26" customHeight="1">
      <c r="B4" s="3" t="inlineStr">
        <is>
          <t>VULNERABILITY SCORE RUBRIC (1–5)</t>
        </is>
      </c>
      <c r="C4" s="5" t="n"/>
    </row>
    <row r="5" ht="40" customHeight="1">
      <c r="B5" s="6" t="inlineStr">
        <is>
          <t>Score 5 — Critical</t>
        </is>
      </c>
      <c r="C5" s="9" t="inlineStr">
        <is>
          <t>EOL device with known high-severity CVEs (CVSS 7+), no authentication, no encryption, internet-facing or with remote access.</t>
        </is>
      </c>
    </row>
    <row r="6" ht="40" customHeight="1">
      <c r="B6" s="6" t="inlineStr">
        <is>
          <t>Score 4 — High</t>
        </is>
      </c>
      <c r="C6" s="9" t="inlineStr">
        <is>
          <t>EOL or extended support with CVEs, limited authentication, some network exposure.</t>
        </is>
      </c>
    </row>
    <row r="7" ht="40" customHeight="1">
      <c r="B7" s="6" t="inlineStr">
        <is>
          <t>Score 3 — Medium</t>
        </is>
      </c>
      <c r="C7" s="9" t="inlineStr">
        <is>
          <t>Extended support or active with known CVEs, partial authentication, limited exposure.</t>
        </is>
      </c>
    </row>
    <row r="8" ht="40" customHeight="1">
      <c r="B8" s="6" t="inlineStr">
        <is>
          <t>Score 2 — Low</t>
        </is>
      </c>
      <c r="C8" s="9" t="inlineStr">
        <is>
          <t>Active support, no known CVEs, some authentication gaps, well-segmented network.</t>
        </is>
      </c>
    </row>
    <row r="9" ht="40" customHeight="1">
      <c r="B9" s="6" t="inlineStr">
        <is>
          <t>Score 1 — Minimal</t>
        </is>
      </c>
      <c r="C9" s="9" t="inlineStr">
        <is>
          <t>Active support, no known CVEs, full authentication and encryption, no remote access.</t>
        </is>
      </c>
    </row>
    <row r="11" ht="26" customHeight="1">
      <c r="B11" s="3" t="inlineStr">
        <is>
          <t>CONSEQUENCE SCORE RUBRIC (1–5)</t>
        </is>
      </c>
      <c r="C11" s="5" t="n"/>
    </row>
    <row r="12" ht="40" customHeight="1">
      <c r="B12" s="6" t="inlineStr">
        <is>
          <t>Score 5 — Catastrophic</t>
        </is>
      </c>
      <c r="C12" s="9" t="inlineStr">
        <is>
          <t>Loss of life, major environmental incident, total facility shutdown, SIL 2+ safety system impact.</t>
        </is>
      </c>
    </row>
    <row r="13" ht="40" customHeight="1">
      <c r="B13" s="6" t="inlineStr">
        <is>
          <t>Score 4 — Critical</t>
        </is>
      </c>
      <c r="C13" s="9" t="inlineStr">
        <is>
          <t>Serious injury risk, major production loss, significant safety system dependency, no redundancy.</t>
        </is>
      </c>
    </row>
    <row r="14" ht="40" customHeight="1">
      <c r="B14" s="6" t="inlineStr">
        <is>
          <t>Score 3 — Major</t>
        </is>
      </c>
      <c r="C14" s="9" t="inlineStr">
        <is>
          <t>Minor injury possible, significant downtime, partial production loss, limited manual override.</t>
        </is>
      </c>
    </row>
    <row r="15" ht="40" customHeight="1">
      <c r="B15" s="6" t="inlineStr">
        <is>
          <t>Score 2 — Moderate</t>
        </is>
      </c>
      <c r="C15" s="9" t="inlineStr">
        <is>
          <t>No injury risk, limited downtime, contained impact, manual override available.</t>
        </is>
      </c>
    </row>
    <row r="16" ht="40" customHeight="1">
      <c r="B16" s="6" t="inlineStr">
        <is>
          <t>Score 1 — Minor</t>
        </is>
      </c>
      <c r="C16" s="9" t="inlineStr">
        <is>
          <t>No safety impact, minimal operational impact, full redundancy and manual override in place.</t>
        </is>
      </c>
    </row>
    <row r="18" ht="26" customHeight="1">
      <c r="B18" s="3" t="inlineStr">
        <is>
          <t>EXPOSURE SCORE RUBRIC (1–5)</t>
        </is>
      </c>
      <c r="C18" s="5" t="n"/>
    </row>
    <row r="19" ht="40" customHeight="1">
      <c r="B19" s="6" t="inlineStr">
        <is>
          <t>Score 5 — Critical</t>
        </is>
      </c>
      <c r="C19" s="9" t="inlineStr">
        <is>
          <t>No network segmentation, external internet access or undocumented remote paths, no physical access control.</t>
        </is>
      </c>
    </row>
    <row r="20" ht="40" customHeight="1">
      <c r="B20" s="6" t="inlineStr">
        <is>
          <t>Score 4 — High</t>
        </is>
      </c>
      <c r="C20" s="9" t="inlineStr">
        <is>
          <t>Partial segmentation, IT/OT bridge device, third-party remote access without strong controls.</t>
        </is>
      </c>
    </row>
    <row r="21" ht="40" customHeight="1">
      <c r="B21" s="6" t="inlineStr">
        <is>
          <t>Score 3 — Medium</t>
        </is>
      </c>
      <c r="C21" s="9" t="inlineStr">
        <is>
          <t>Segmented but firewall rules unreviewed, some remote access with basic controls.</t>
        </is>
      </c>
    </row>
    <row r="22" ht="40" customHeight="1">
      <c r="B22" s="6" t="inlineStr">
        <is>
          <t>Score 2 — Low</t>
        </is>
      </c>
      <c r="C22" s="9" t="inlineStr">
        <is>
          <t>Well-segmented, no remote access, controlled physical access, firewall actively managed.</t>
        </is>
      </c>
    </row>
    <row r="23" ht="40" customHeight="1">
      <c r="B23" s="6" t="inlineStr">
        <is>
          <t>Score 1 — Minimal</t>
        </is>
      </c>
      <c r="C23" s="9" t="inlineStr">
        <is>
          <t>Air-gapped or fully isolated, no remote access, strict physical access control enforced.</t>
        </is>
      </c>
    </row>
    <row r="25" ht="26" customHeight="1">
      <c r="B25" s="3" t="inlineStr">
        <is>
          <t>COMPOSITE SCORE &amp; PRIORITY TIERS</t>
        </is>
      </c>
      <c r="C25" s="5" t="n"/>
    </row>
    <row r="26" ht="40" customHeight="1">
      <c r="B26" s="6" t="inlineStr">
        <is>
          <t>Formula</t>
        </is>
      </c>
      <c r="C26" s="9" t="inlineStr">
        <is>
          <t>Composite Score = Vulnerability Score × Consequence Score × Exposure Score (range: 1–125)</t>
        </is>
      </c>
    </row>
    <row r="27" ht="40" customHeight="1">
      <c r="B27" s="6" t="inlineStr">
        <is>
          <t>🔴 Critical (75–125)</t>
        </is>
      </c>
      <c r="C27" s="9" t="inlineStr">
        <is>
          <t>Immediate action within 30 days. Escalate to management. Document interim compensating controls.</t>
        </is>
      </c>
    </row>
    <row r="28" ht="40" customHeight="1">
      <c r="B28" s="6" t="inlineStr">
        <is>
          <t>🟠 High (40–74)</t>
        </is>
      </c>
      <c r="C28" s="9" t="inlineStr">
        <is>
          <t>Action within 90 days. Schedule into next maintenance window. Assign owner and target date.</t>
        </is>
      </c>
    </row>
    <row r="29" ht="40" customHeight="1">
      <c r="B29" s="6" t="inlineStr">
        <is>
          <t>🟡 Medium (15–39)</t>
        </is>
      </c>
      <c r="C29" s="9" t="inlineStr">
        <is>
          <t>Action within 6 months. Include in next project planning cycle. Monitor in interim.</t>
        </is>
      </c>
    </row>
    <row r="30" ht="40" customHeight="1">
      <c r="B30" s="6" t="inlineStr">
        <is>
          <t>🟢 Low (1–14)</t>
        </is>
      </c>
      <c r="C30" s="9" t="inlineStr">
        <is>
          <t>Annual review. No immediate action required. Maintain current controls and monitoring.</t>
        </is>
      </c>
    </row>
    <row r="32" ht="26" customHeight="1">
      <c r="B32" s="3" t="inlineStr">
        <is>
          <t>KEY STANDARDS</t>
        </is>
      </c>
      <c r="C32" s="5" t="n"/>
    </row>
    <row r="33" ht="40" customHeight="1">
      <c r="B33" s="6" t="inlineStr">
        <is>
          <t>IEC 62443</t>
        </is>
      </c>
      <c r="C33" s="9" t="inlineStr">
        <is>
          <t>Primary international standard for OT/ICS security. Zone and conduit model from IEC 62443-3-3. Security levels SL1–SL4 define target security posture.</t>
        </is>
      </c>
    </row>
    <row r="34" ht="40" customHeight="1">
      <c r="B34" s="6" t="inlineStr">
        <is>
          <t>IEC 61508 / 61511</t>
        </is>
      </c>
      <c r="C34" s="9" t="inlineStr">
        <is>
          <t>Functional safety standards defining Safety Integrity Levels (SIL 1–4). Any SIS device must be assessed under this framework.</t>
        </is>
      </c>
    </row>
    <row r="35" ht="40" customHeight="1">
      <c r="B35" s="6" t="inlineStr">
        <is>
          <t>NIST SP 800-82</t>
        </is>
      </c>
      <c r="C35" s="9" t="inlineStr">
        <is>
          <t>US guide to OT security. Practical companion to IEC 62443. Freely available at nist.gov/publications.</t>
        </is>
      </c>
    </row>
    <row r="36" ht="40" customHeight="1">
      <c r="B36" s="6" t="inlineStr">
        <is>
          <t>EU CRA (Dec 2027)</t>
        </is>
      </c>
      <c r="C36" s="9" t="inlineStr">
        <is>
          <t>Cyber Resilience Act. Drives manufacturer compliance. Indirect pressure on asset owners via insurance and procurement.</t>
        </is>
      </c>
    </row>
    <row r="37" ht="40" customHeight="1">
      <c r="B37" s="6" t="inlineStr">
        <is>
          <t>EU NIS2</t>
        </is>
      </c>
      <c r="C37" s="9" t="inlineStr">
        <is>
          <t>Already in force. Applies to operators of essential services. Requires demonstrable OT risk management now.</t>
        </is>
      </c>
    </row>
    <row r="38" ht="40" customHeight="1">
      <c r="B38" s="6" t="inlineStr">
        <is>
          <t>CVE / CVSS</t>
        </is>
      </c>
      <c r="C38" s="9" t="inlineStr">
        <is>
          <t>Search cve.mitre.org for any device model and firmware. CVSS score guides vulnerability severity input to this matrix.</t>
        </is>
      </c>
    </row>
    <row r="40" ht="22" customHeight="1">
      <c r="B40" s="10" t="inlineStr">
        <is>
          <t>⚡ Migrating the Unmigrateable — Study Notes | [MtU #02] | Template v1.0 | Cite freely with attribution</t>
        </is>
      </c>
    </row>
  </sheetData>
  <mergeCells count="7">
    <mergeCell ref="B11:C11"/>
    <mergeCell ref="B25:C25"/>
    <mergeCell ref="B32:C32"/>
    <mergeCell ref="B40:C40"/>
    <mergeCell ref="B18:C18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2026-06-09T05:33:15Z</dcterms:created>
  <dcterms:modified xmlns:dcterms="http://purl.org/dc/terms/" xmlns:xsi="http://www.w3.org/2001/XMLSchema-instance" xsi:type="dcterms:W3CDTF">2026-06-09T05:33:15Z</dcterms:modified>
</cp:coreProperties>
</file>